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PROJECTS\housing  project\"/>
    </mc:Choice>
  </mc:AlternateContent>
  <xr:revisionPtr revIDLastSave="0" documentId="13_ncr:1_{EC25E26B-C303-48C3-819F-C45B9916337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n Data" sheetId="11" r:id="rId1"/>
    <sheet name="Clean Data" sheetId="4" r:id="rId2"/>
    <sheet name="PIVOT TABLES" sheetId="15" r:id="rId3"/>
    <sheet name="AI prompt Generated table" sheetId="17" r:id="rId4"/>
    <sheet name="Supporting RAW(Data Survey)" sheetId="2" r:id="rId5"/>
  </sheets>
  <definedNames>
    <definedName name="_xlnm._FilterDatabase" localSheetId="1" hidden="1">'Clean Data'!$A$1:$J$45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1" l="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7A68D1-B045-4816-A919-4DDC36D4B286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<sst xmlns="http://schemas.openxmlformats.org/spreadsheetml/2006/main" count="1166" uniqueCount="221">
  <si>
    <t>start</t>
  </si>
  <si>
    <t>end</t>
  </si>
  <si>
    <t>Where do you stay?</t>
  </si>
  <si>
    <t xml:space="preserve">Rate your safety status  </t>
  </si>
  <si>
    <t>What’s the overall road quality in your area?</t>
  </si>
  <si>
    <t>How costly are the goods in your markets  in comparison to normal prices?</t>
  </si>
  <si>
    <t>Which of the transports?</t>
  </si>
  <si>
    <t>Which of the transports?/keke</t>
  </si>
  <si>
    <t>Which of the transports?/Taxi</t>
  </si>
  <si>
    <t>Which of the transports?/Bus</t>
  </si>
  <si>
    <t>Which of the transports?/Bike(okada)</t>
  </si>
  <si>
    <t>How would you rate your access to healthcare facilities (hospitals , pharmacies , etc)?</t>
  </si>
  <si>
    <t>What would you rate the quality of said health care services?</t>
  </si>
  <si>
    <t>What would you rate the availability of recreational areas (parks , sport complexes , tourist attractions , fun zones ,etc)?</t>
  </si>
  <si>
    <t>What would you rate the availability of supermarket and stores?</t>
  </si>
  <si>
    <t>How costly would you say said supermarkets and stores are in relativeness to the average services?</t>
  </si>
  <si>
    <t>Where do u stay</t>
  </si>
  <si>
    <t>what’s the overall road quality in your area</t>
  </si>
  <si>
    <t>how good is your road network</t>
  </si>
  <si>
    <t>how costly are the goods in your markets  in comparison to normal prices</t>
  </si>
  <si>
    <t>which of the transports</t>
  </si>
  <si>
    <t>which of the transports/keke</t>
  </si>
  <si>
    <t>which of the transports/Taxi</t>
  </si>
  <si>
    <t>which of the transports/Bus</t>
  </si>
  <si>
    <t>which of the transports/Bike(okada)</t>
  </si>
  <si>
    <t>how would u rate your access to healthcare facilities (hospitals , pharmacies , etc)</t>
  </si>
  <si>
    <t>what would u say the quality of said health care services are</t>
  </si>
  <si>
    <t>what would u rate the availability of recreational areas (parks , sport complexes , tourist attractions , fun zones ,etc)</t>
  </si>
  <si>
    <t>what you rate the availability of supermarket and stores</t>
  </si>
  <si>
    <t>how costly would u say said businesses are in relativeness to the average services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</si>
  <si>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</si>
  <si>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</si>
  <si>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</si>
  <si>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</si>
  <si>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</si>
  <si>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</si>
  <si>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</si>
  <si>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</si>
  <si>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</si>
  <si>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</si>
  <si>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Asokoro</t>
  </si>
  <si>
    <t>6f64e142-7da1-419d-9b16-03be77703aa8</t>
  </si>
  <si>
    <t>submitted_via_web</t>
  </si>
  <si>
    <t>vDn9WA6YZmhgw8gvFBNQ9P</t>
  </si>
  <si>
    <t>Gwarimpa</t>
  </si>
  <si>
    <t>d421ebc5-875e-4254-b194-f2036263d9b9</t>
  </si>
  <si>
    <t>Kubwa</t>
  </si>
  <si>
    <t>479ffb20-9229-433c-b3aa-71aa93333045</t>
  </si>
  <si>
    <t>Lugbe</t>
  </si>
  <si>
    <t>2b53281f-519c-461d-9fdd-fc45ad2f4b41</t>
  </si>
  <si>
    <t>Nyanya</t>
  </si>
  <si>
    <t>d07871ff-6ed7-4276-919b-9f5f2aeeb9e6</t>
  </si>
  <si>
    <t>Wuse</t>
  </si>
  <si>
    <t>Moderate</t>
  </si>
  <si>
    <t>Taxi</t>
  </si>
  <si>
    <t>fair</t>
  </si>
  <si>
    <t>b62222c5-662b-4411-9485-4f0342d9d4b6</t>
  </si>
  <si>
    <t>vPJuJF55pcUVKKBc7B46yi</t>
  </si>
  <si>
    <t>Lifecamp</t>
  </si>
  <si>
    <t>keke Taxi Bike(okada)</t>
  </si>
  <si>
    <t>0b3ec5e1-05b8-4435-9ec1-ab472a4f294f</t>
  </si>
  <si>
    <t>vC57xmFuoaBeCFipfYzy3x</t>
  </si>
  <si>
    <t>Expensive</t>
  </si>
  <si>
    <t>452a90b2-cbe9-498e-87af-6802312a4802</t>
  </si>
  <si>
    <t>keke Taxi Bus</t>
  </si>
  <si>
    <t>excellent</t>
  </si>
  <si>
    <t>ba3f4c14-8eff-42b8-a12f-d47e3f08e1be</t>
  </si>
  <si>
    <t>expensive</t>
  </si>
  <si>
    <t>3d995408-fd83-4342-bf07-58f8acba544f</t>
  </si>
  <si>
    <t>vGpHDy2HuGtMjGP87gmJYG</t>
  </si>
  <si>
    <t>f1fd7de7-95a1-44bd-a535-05aa35e35307</t>
  </si>
  <si>
    <t>keke Taxi Bus Bike(okada)</t>
  </si>
  <si>
    <t>0c1e903a-c4ac-4a25-a2f8-d94d1e413139</t>
  </si>
  <si>
    <t>Mpape</t>
  </si>
  <si>
    <t>Bus</t>
  </si>
  <si>
    <t>bc28ddcf-87f7-4de0-a126-41c31d7825f9</t>
  </si>
  <si>
    <t>kubwa</t>
  </si>
  <si>
    <t>b0581ea7-50e6-48e9-9854-de9b5701131b</t>
  </si>
  <si>
    <t>Durumi</t>
  </si>
  <si>
    <t>poor</t>
  </si>
  <si>
    <t>7158c0c1-0f17-4529-9ba1-59a5d2ebbe8a</t>
  </si>
  <si>
    <t>148e7b13-6980-4198-9eff-48059232af69</t>
  </si>
  <si>
    <t>476f4add-67d6-44fa-a112-26bce9ace5d3</t>
  </si>
  <si>
    <t>Jikwoyi</t>
  </si>
  <si>
    <t>829d87b6-d8da-4cbe-a036-8cbad492d7bc</t>
  </si>
  <si>
    <t>12ae0824-ab78-482c-bdbb-bfc3ffd66c1e</t>
  </si>
  <si>
    <t>73d1eabf-84ce-489b-a198-a1ba473e98fb</t>
  </si>
  <si>
    <t>Zuba</t>
  </si>
  <si>
    <t>3e89c0e4-bb07-4fb9-a2d7-b91b5f5e95f2</t>
  </si>
  <si>
    <t>keke Bike(okada)</t>
  </si>
  <si>
    <t>9dfff8a4-4989-4847-b3c1-8bd85f9ab40b</t>
  </si>
  <si>
    <t>9d0ddcdc-ec3c-49c8-ae51-96f83f6dbb6e</t>
  </si>
  <si>
    <t>d6870370-8fde-402d-a948-430744250cd6</t>
  </si>
  <si>
    <t>Dawaki</t>
  </si>
  <si>
    <t>Taxi Bike(okada)</t>
  </si>
  <si>
    <t>411ab96c-d12a-47bb-a239-c1e61b5aaea7</t>
  </si>
  <si>
    <t>9236a538-802d-47f5-9d26-9f3fa7f64e34</t>
  </si>
  <si>
    <t>vNGFHn2gqY9JTYp93WsixP</t>
  </si>
  <si>
    <t>7eb63efe-87bd-451b-84b3-3522eb62b5a4</t>
  </si>
  <si>
    <t>6e0cb68d-7f92-4009-9299-e66f31d282e8</t>
  </si>
  <si>
    <t>vsGKeWeTni5oq8Le5ZTJ9x</t>
  </si>
  <si>
    <t>Bike(okada)</t>
  </si>
  <si>
    <t>bf73efbd-42a1-4380-968a-21653d6b9bd2</t>
  </si>
  <si>
    <t>2e538900-6d1e-48c1-8d91-3d1e94feb316</t>
  </si>
  <si>
    <t>9395e55f-d97c-457b-8502-39f4366cc8bf</t>
  </si>
  <si>
    <t>keke Bus Bike(okada)</t>
  </si>
  <si>
    <t>7d89ee91-c64e-422f-be95-a82e89b9ba1a</t>
  </si>
  <si>
    <t>2b803203-5a43-4516-86d5-5bba51305d67</t>
  </si>
  <si>
    <t>b186022f-dd68-41fb-afd6-9593b5005c82</t>
  </si>
  <si>
    <t>keke, Taxi, Bike(okada)</t>
  </si>
  <si>
    <t>keke, Taxi, Bus</t>
  </si>
  <si>
    <t>keke, Taxi, Bus, Bike(okada)</t>
  </si>
  <si>
    <t>keke, Bike(okada)</t>
  </si>
  <si>
    <t>Taxi, Bike(okada)</t>
  </si>
  <si>
    <t>keke, Bus, Bike(okada)</t>
  </si>
  <si>
    <t>Guzape</t>
  </si>
  <si>
    <t>Cheap</t>
  </si>
  <si>
    <t>72f3b360-a6a9-4ae6-90b5-326a8a36779b</t>
  </si>
  <si>
    <t>keke</t>
  </si>
  <si>
    <t>6fb93029-2c66-4d63-879a-339689da8752</t>
  </si>
  <si>
    <t>e78b8876-18fe-4155-9a53-c885cbcc1dac</t>
  </si>
  <si>
    <t>67146d11-2720-40ed-8fbd-f93b3aeaf49f</t>
  </si>
  <si>
    <t>Maitama</t>
  </si>
  <si>
    <t>ab68a658-0b02-4e69-8ff4-a4c90066487b</t>
  </si>
  <si>
    <t>keke Taxi</t>
  </si>
  <si>
    <t>a2c152ae-e975-4e31-81ed-264db511c74d</t>
  </si>
  <si>
    <t>2a1583b2-0ecc-4d7e-9847-b8a8a3818f76</t>
  </si>
  <si>
    <t>7b4fbba5-4a2c-4c34-bdd5-ddbadd1d4d00</t>
  </si>
  <si>
    <t>98853385-6d5f-4b9c-a95b-e54f3a6e7a06</t>
  </si>
  <si>
    <t>34884b8b-4317-46ea-aba2-02f60181a3f3</t>
  </si>
  <si>
    <t>021f3766-73e9-4148-86f4-c0405d370e9e</t>
  </si>
  <si>
    <t>de119b9f-2a75-4228-be8e-a3c99a872833</t>
  </si>
  <si>
    <t>Mararaba</t>
  </si>
  <si>
    <t>8cf70d9d-8846-4e7c-9496-bc4935f70bd6</t>
  </si>
  <si>
    <t>Garki</t>
  </si>
  <si>
    <t>975618ea-e6f5-4aef-b302-6a6d1d17eeb6</t>
  </si>
  <si>
    <t>af7a355e-6106-4f81-8ddd-96a3318a92cd</t>
  </si>
  <si>
    <t>80e9b963-32b6-42bd-ae59-7756f8c78cf3</t>
  </si>
  <si>
    <t>9418b672-a20a-44f4-a651-022c92358096</t>
  </si>
  <si>
    <t>4b7296c6-1f18-4503-a728-27ebcdd8c367</t>
  </si>
  <si>
    <t>71460c34-d7cc-4977-b8fb-1195bc3d43f4</t>
  </si>
  <si>
    <t>keke ,Taxi</t>
  </si>
  <si>
    <t>keke ,Taxi ,Bus ,Bike(okada)</t>
  </si>
  <si>
    <t>keke  , Bus  ,Bike(okada)</t>
  </si>
  <si>
    <t>Abuja Municipal Area Council (AMAC)</t>
  </si>
  <si>
    <t>Utako</t>
  </si>
  <si>
    <t>Jabi</t>
  </si>
  <si>
    <t>Kado</t>
  </si>
  <si>
    <t>Strong</t>
  </si>
  <si>
    <t>Fair</t>
  </si>
  <si>
    <t>Cost of supermarket and stores</t>
  </si>
  <si>
    <t>Quality of Hospitals(health care)</t>
  </si>
  <si>
    <t>Cost of Market items</t>
  </si>
  <si>
    <t>Power_Supply_Hours (expected)</t>
  </si>
  <si>
    <t>Overall_Road_Condition (1-5)</t>
  </si>
  <si>
    <t>Overall_Safety (1-5)</t>
  </si>
  <si>
    <t>Network_Coverage (MTN) (4g)</t>
  </si>
  <si>
    <t>Network_Coverage (AIRTEL) (4g)</t>
  </si>
  <si>
    <t>Network_Coverage (GLO) (4g)</t>
  </si>
  <si>
    <t>LGA</t>
  </si>
  <si>
    <t>Area_Name</t>
  </si>
  <si>
    <t>Access to  hospitals (healthcare) (1-5)</t>
  </si>
  <si>
    <t>Access to recreational  activities (1-5)</t>
  </si>
  <si>
    <t>Availability of supermarket and stores (1-5)</t>
  </si>
  <si>
    <t>Lokogoma</t>
  </si>
  <si>
    <t>Wuye</t>
  </si>
  <si>
    <t>Gwagwalada Area Council (GAC)</t>
  </si>
  <si>
    <t>Bwari Area Council (BAC)</t>
  </si>
  <si>
    <t>Karu (Nasarawa)</t>
  </si>
  <si>
    <r>
      <t>Annual_Rent_Min (</t>
    </r>
    <r>
      <rPr>
        <b/>
        <sz val="11"/>
        <color theme="1"/>
        <rFont val="Calibri"/>
        <family val="2"/>
      </rPr>
      <t>₦)</t>
    </r>
    <r>
      <rPr>
        <b/>
        <sz val="11"/>
        <color theme="1"/>
        <rFont val="Calibri"/>
        <family val="2"/>
        <scheme val="minor"/>
      </rPr>
      <t xml:space="preserve"> </t>
    </r>
  </si>
  <si>
    <r>
      <t>Annual_Rent_Max (</t>
    </r>
    <r>
      <rPr>
        <b/>
        <sz val="11"/>
        <color theme="1"/>
        <rFont val="Calibri"/>
        <family val="2"/>
      </rPr>
      <t>₦)</t>
    </r>
  </si>
  <si>
    <r>
      <t>Annual_Rent_Avg  (</t>
    </r>
    <r>
      <rPr>
        <b/>
        <sz val="11"/>
        <color theme="1"/>
        <rFont val="Calibri"/>
        <family val="2"/>
      </rPr>
      <t>₦)</t>
    </r>
  </si>
  <si>
    <t>GPS LOCATION (LATITUDE)</t>
  </si>
  <si>
    <t>GPS LOCATION (LONGITUDE)</t>
  </si>
  <si>
    <t>keke ,Taxi ,Bike(okada)</t>
  </si>
  <si>
    <t>keke ,Taxi , Bike(okada)</t>
  </si>
  <si>
    <t xml:space="preserve">keke ,Taxi </t>
  </si>
  <si>
    <t>kado</t>
  </si>
  <si>
    <t>utako</t>
  </si>
  <si>
    <t>cheap</t>
  </si>
  <si>
    <t>slow</t>
  </si>
  <si>
    <t>strong</t>
  </si>
  <si>
    <t>16-18</t>
  </si>
  <si>
    <t>18-20</t>
  </si>
  <si>
    <t>20-24</t>
  </si>
  <si>
    <t>12-16</t>
  </si>
  <si>
    <t>6-10</t>
  </si>
  <si>
    <t>8-12</t>
  </si>
  <si>
    <t>12-15</t>
  </si>
  <si>
    <t xml:space="preserve">Average of Rate your safety status  </t>
  </si>
  <si>
    <t>Average of What’s the overall road quality in your area?</t>
  </si>
  <si>
    <t>Average of How would you rate your access to healthcare facilities (hospitals , pharmacies , etc)?</t>
  </si>
  <si>
    <t>JABI</t>
  </si>
  <si>
    <t>NYANYA</t>
  </si>
  <si>
    <t>EXPENSIVE</t>
  </si>
  <si>
    <t>EXCELLENT</t>
  </si>
  <si>
    <t>MODERATE</t>
  </si>
  <si>
    <t>CHEAP</t>
  </si>
  <si>
    <t>POOR</t>
  </si>
  <si>
    <t>FAIR</t>
  </si>
  <si>
    <t>Average of What would you rate the availability of supermarket and stores?</t>
  </si>
  <si>
    <t>Average of What would you rate the availability of recreational areas (parks , sport complexes , tourist attractions , fun zones ,etc)?</t>
  </si>
  <si>
    <t>Area Name</t>
  </si>
  <si>
    <t>Transport Availability</t>
  </si>
  <si>
    <t>Cost of Market Items</t>
  </si>
  <si>
    <t>Quality of Hospitals</t>
  </si>
  <si>
    <t>Cost of Supermarket/Stores</t>
  </si>
  <si>
    <t>keke, Taxi, Bus, Bike</t>
  </si>
  <si>
    <t>Fair/Expensive</t>
  </si>
  <si>
    <t>Taxi, Bike, keke</t>
  </si>
  <si>
    <t>keke, Taxi</t>
  </si>
  <si>
    <t>Excellent</t>
  </si>
  <si>
    <t>keke, Taxi, Bike</t>
  </si>
  <si>
    <t>Poor</t>
  </si>
  <si>
    <t>Taxi, keke</t>
  </si>
  <si>
    <t>keke, Bus, Bike, Taxi</t>
  </si>
  <si>
    <t>Poor/Fair</t>
  </si>
  <si>
    <t>Taxi, Bike</t>
  </si>
  <si>
    <t>Taxi, Bus, keke</t>
  </si>
  <si>
    <t>Transport_Availability (most common)</t>
  </si>
  <si>
    <t>Bus ,bike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</si>
</sst>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₦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165" fontId="1" fillId="0" borderId="0" xfId="0" applyNumberFormat="1" applyFont="1" applyAlignment="1">
      <alignment horizontal="center" vertical="top" wrapText="1"/>
    </xf>
    <xf numFmtId="165" fontId="0" fillId="0" borderId="0" xfId="0" applyNumberFormat="1"/>
    <xf numFmtId="49" fontId="1" fillId="4" borderId="0" xfId="0" applyNumberFormat="1" applyFont="1" applyFill="1" applyAlignment="1">
      <alignment horizontal="center" vertical="top" wrapText="1"/>
    </xf>
    <xf numFmtId="49" fontId="0" fillId="0" borderId="0" xfId="0" applyNumberFormat="1"/>
    <xf numFmtId="0" fontId="0" fillId="0" borderId="0" xfId="0" pivotButton="1"/>
    <xf numFmtId="2" fontId="1" fillId="2" borderId="0" xfId="0" applyNumberFormat="1" applyFont="1" applyFill="1" applyAlignment="1">
      <alignment horizontal="center" vertical="top" wrapText="1"/>
    </xf>
    <xf numFmtId="2" fontId="0" fillId="0" borderId="0" xfId="0" applyNumberFormat="1"/>
    <xf numFmtId="2" fontId="1" fillId="3" borderId="0" xfId="0" applyNumberFormat="1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3.626276388888" createdVersion="8" refreshedVersion="8" minRefreshableVersion="3" recordCount="56" xr:uid="{A5FF2578-CD9D-47B9-9CD6-B1322275ECD7}">
  <cacheSource type="worksheet">
    <worksheetSource ref="A1:J57" sheet="Clean Data"/>
  </cacheSource>
  <cacheFields count="10">
    <cacheField name="Where do you stay?" numFmtId="0">
      <sharedItems count="21">
        <s v="Asokoro"/>
        <s v="Dawaki"/>
        <s v="Durumi"/>
        <s v="Garki"/>
        <s v="Guzape"/>
        <s v="Gwarimpa"/>
        <s v="JABI"/>
        <s v="Jikwoyi"/>
        <s v="kado"/>
        <s v="kubwa"/>
        <s v="Lifecamp"/>
        <s v="Lokogoma"/>
        <s v="Lugbe"/>
        <s v="Maitama"/>
        <s v="Mararaba"/>
        <s v="Mpape"/>
        <s v="NYANYA"/>
        <s v="utako"/>
        <s v="Wuse"/>
        <s v="Wuye"/>
        <s v="Zuba"/>
      </sharedItems>
    </cacheField>
    <cacheField name="Rate your safety status  " numFmtId="0">
      <sharedItems containsSemiMixedTypes="0" containsString="0" containsNumber="1" containsInteger="1" minValue="2" maxValue="5"/>
    </cacheField>
    <cacheField name="What’s the overall road quality in your area?" numFmtId="0">
      <sharedItems containsString="0" containsBlank="1" containsNumber="1" containsInteger="1" minValue="1" maxValue="5"/>
    </cacheField>
    <cacheField name="How costly are the goods in your markets  in comparison to normal prices?" numFmtId="0">
      <sharedItems/>
    </cacheField>
    <cacheField name="Which of the transports?" numFmtId="0">
      <sharedItems/>
    </cacheField>
    <cacheField name="How would you rate your access to healthcare facilities (hospitals , pharmacies , etc)?" numFmtId="0">
      <sharedItems containsSemiMixedTypes="0" containsString="0" containsNumber="1" containsInteger="1" minValue="1" maxValue="5"/>
    </cacheField>
    <cacheField name="What would you rate the quality of said health care services?" numFmtId="0">
      <sharedItems/>
    </cacheField>
    <cacheField name="What would you rate the availability of recreational areas (parks , sport complexes , tourist attractions , fun zones ,etc)?" numFmtId="0">
      <sharedItems containsSemiMixedTypes="0" containsString="0" containsNumber="1" containsInteger="1" minValue="1" maxValue="5"/>
    </cacheField>
    <cacheField name="What would you rate the availability of supermarket and stores?" numFmtId="0">
      <sharedItems containsSemiMixedTypes="0" containsString="0" containsNumber="1" containsInteger="1" minValue="1" maxValue="5"/>
    </cacheField>
    <cacheField name="How costly would you say said supermarkets and stores are in relativeness to the average service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n v="5"/>
    <n v="5"/>
    <s v="Expensive"/>
    <s v="keke, Taxi, Bus"/>
    <n v="5"/>
    <s v="excellent"/>
    <n v="5"/>
    <n v="5"/>
    <s v="fair"/>
  </r>
  <r>
    <x v="0"/>
    <n v="4"/>
    <n v="5"/>
    <s v="Expensive"/>
    <s v="Taxi"/>
    <n v="3"/>
    <s v="fair"/>
    <n v="4"/>
    <n v="3"/>
    <s v="expensive"/>
  </r>
  <r>
    <x v="0"/>
    <n v="5"/>
    <n v="5"/>
    <s v="Moderate"/>
    <s v="Taxi"/>
    <n v="5"/>
    <s v="excellent"/>
    <n v="2"/>
    <n v="2"/>
    <s v="fair"/>
  </r>
  <r>
    <x v="0"/>
    <n v="5"/>
    <n v="5"/>
    <s v="Moderate"/>
    <s v="Taxi"/>
    <n v="5"/>
    <s v="excellent"/>
    <n v="2"/>
    <n v="2"/>
    <s v="fair"/>
  </r>
  <r>
    <x v="0"/>
    <n v="4"/>
    <n v="5"/>
    <s v="Expensive"/>
    <s v="keke ,Taxi"/>
    <n v="4"/>
    <s v="fair"/>
    <n v="2"/>
    <n v="4"/>
    <s v="fair"/>
  </r>
  <r>
    <x v="1"/>
    <n v="3"/>
    <n v="2"/>
    <s v="Expensive"/>
    <s v="Taxi, Bike(okada)"/>
    <n v="4"/>
    <s v="fair"/>
    <n v="3"/>
    <n v="4"/>
    <s v="fair"/>
  </r>
  <r>
    <x v="1"/>
    <n v="4"/>
    <n v="3"/>
    <s v="Moderate"/>
    <s v="Bike(okada)"/>
    <n v="3"/>
    <s v="fair"/>
    <n v="2"/>
    <n v="3"/>
    <s v="fair"/>
  </r>
  <r>
    <x v="1"/>
    <n v="4"/>
    <n v="3"/>
    <s v="Moderate"/>
    <s v="keke, Taxi, Bike(okada)"/>
    <n v="3"/>
    <s v="fair"/>
    <n v="3"/>
    <n v="3"/>
    <s v="fair"/>
  </r>
  <r>
    <x v="1"/>
    <n v="4"/>
    <n v="2"/>
    <s v="Moderate"/>
    <s v="keke ,Taxi ,Bike(okada)"/>
    <n v="3"/>
    <s v="fair"/>
    <n v="2"/>
    <n v="2"/>
    <s v="expensive"/>
  </r>
  <r>
    <x v="2"/>
    <n v="3"/>
    <n v="1"/>
    <s v="Moderate"/>
    <s v="keke, Taxi, Bike(okada)"/>
    <n v="3"/>
    <s v="poor"/>
    <n v="2"/>
    <n v="4"/>
    <s v="fair"/>
  </r>
  <r>
    <x v="3"/>
    <n v="4"/>
    <n v="4"/>
    <s v="Expensive"/>
    <s v="Taxi"/>
    <n v="5"/>
    <s v="fair"/>
    <n v="4"/>
    <n v="5"/>
    <s v="fair"/>
  </r>
  <r>
    <x v="4"/>
    <n v="4"/>
    <n v="4"/>
    <s v="Cheap"/>
    <s v="keke ,Taxi"/>
    <n v="3"/>
    <s v="fair"/>
    <n v="4"/>
    <n v="4"/>
    <s v="fair"/>
  </r>
  <r>
    <x v="5"/>
    <n v="5"/>
    <n v="5"/>
    <s v="Expensive"/>
    <s v="keke, Taxi, Bus, Bike(okada)"/>
    <n v="4"/>
    <s v="fair"/>
    <n v="4"/>
    <n v="5"/>
    <s v="expensive"/>
  </r>
  <r>
    <x v="5"/>
    <n v="4"/>
    <n v="3"/>
    <s v="Moderate"/>
    <s v="keke"/>
    <n v="3"/>
    <s v="fair"/>
    <n v="4"/>
    <n v="3"/>
    <s v="expensive"/>
  </r>
  <r>
    <x v="5"/>
    <n v="4"/>
    <n v="2"/>
    <s v="Moderate"/>
    <s v="keke ,Taxi"/>
    <n v="3"/>
    <s v="fair"/>
    <n v="3"/>
    <n v="4"/>
    <s v="fair"/>
  </r>
  <r>
    <x v="6"/>
    <n v="5"/>
    <n v="5"/>
    <s v="Expensive"/>
    <s v="keke ,Taxi"/>
    <n v="2"/>
    <s v="excellent"/>
    <n v="4"/>
    <n v="3"/>
    <s v="MODERATE"/>
  </r>
  <r>
    <x v="6"/>
    <n v="5"/>
    <n v="5"/>
    <s v="Expensive"/>
    <s v="keke ,Taxi"/>
    <n v="2"/>
    <s v="excellent"/>
    <n v="5"/>
    <n v="3"/>
    <s v="expensive"/>
  </r>
  <r>
    <x v="7"/>
    <n v="4"/>
    <n v="4"/>
    <s v="Moderate"/>
    <s v="keke, Taxi, Bus, Bike(okada)"/>
    <n v="2"/>
    <s v="poor"/>
    <n v="2"/>
    <n v="4"/>
    <s v="fair"/>
  </r>
  <r>
    <x v="7"/>
    <n v="4"/>
    <n v="3"/>
    <s v="Moderate"/>
    <s v="keke, Bus, Bike(okada)"/>
    <n v="4"/>
    <s v="fair"/>
    <n v="1"/>
    <n v="3"/>
    <s v="fair"/>
  </r>
  <r>
    <x v="7"/>
    <n v="3"/>
    <n v="3"/>
    <s v="Moderate"/>
    <s v="keke, Bike(okada)"/>
    <n v="2"/>
    <s v="poor"/>
    <n v="1"/>
    <n v="2"/>
    <s v="expensive"/>
  </r>
  <r>
    <x v="7"/>
    <n v="2"/>
    <n v="2"/>
    <s v="Cheap"/>
    <s v="keke ,Taxi ,Bus ,Bike(okada)"/>
    <n v="3"/>
    <s v="fair"/>
    <n v="2"/>
    <n v="4"/>
    <s v="fair"/>
  </r>
  <r>
    <x v="7"/>
    <n v="3"/>
    <n v="2"/>
    <s v="Expensive"/>
    <s v="keke  , Bus  ,Bike(okada)"/>
    <n v="1"/>
    <s v="poor"/>
    <n v="1"/>
    <n v="4"/>
    <s v="fair"/>
  </r>
  <r>
    <x v="7"/>
    <n v="3"/>
    <n v="4"/>
    <s v="Moderate"/>
    <s v="keke ,Taxi ,Bus ,Bike(okada)"/>
    <n v="4"/>
    <s v="fair"/>
    <n v="3"/>
    <n v="4"/>
    <s v="expensive"/>
  </r>
  <r>
    <x v="8"/>
    <n v="5"/>
    <n v="5"/>
    <s v="Expensive"/>
    <s v="keke ,Taxi"/>
    <n v="4"/>
    <s v="excellent"/>
    <n v="3"/>
    <n v="4"/>
    <s v="expensive"/>
  </r>
  <r>
    <x v="8"/>
    <n v="4"/>
    <n v="5"/>
    <s v="Expensive"/>
    <s v="keke ,Taxi"/>
    <n v="3"/>
    <s v="excellent"/>
    <n v="3"/>
    <n v="4"/>
    <s v="expensive"/>
  </r>
  <r>
    <x v="9"/>
    <n v="4"/>
    <n v="3"/>
    <s v="Moderate"/>
    <s v="keke, Taxi, Bus, Bike(okada)"/>
    <n v="3"/>
    <s v="fair"/>
    <n v="3"/>
    <n v="3"/>
    <s v="fair"/>
  </r>
  <r>
    <x v="9"/>
    <n v="3"/>
    <n v="1"/>
    <s v="Moderate"/>
    <s v="keke, Taxi, Bus, Bike(okada)"/>
    <n v="2"/>
    <s v="fair"/>
    <n v="1"/>
    <n v="3"/>
    <s v="expensive"/>
  </r>
  <r>
    <x v="9"/>
    <n v="5"/>
    <n v="4"/>
    <s v="Moderate"/>
    <s v="keke, Taxi, Bike(okada)"/>
    <n v="4"/>
    <s v="fair"/>
    <n v="2"/>
    <n v="5"/>
    <s v="fair"/>
  </r>
  <r>
    <x v="9"/>
    <n v="5"/>
    <n v="4"/>
    <s v="Moderate"/>
    <s v="keke, Taxi, Bike(okada)"/>
    <n v="5"/>
    <s v="fair"/>
    <n v="1"/>
    <n v="4"/>
    <s v="expensive"/>
  </r>
  <r>
    <x v="9"/>
    <n v="3"/>
    <n v="4"/>
    <s v="Moderate"/>
    <s v="keke"/>
    <n v="4"/>
    <s v="fair"/>
    <n v="3"/>
    <n v="5"/>
    <s v="fair"/>
  </r>
  <r>
    <x v="9"/>
    <n v="3"/>
    <n v="2"/>
    <s v="Expensive"/>
    <s v="Bus"/>
    <n v="3"/>
    <s v="poor"/>
    <n v="1"/>
    <n v="3"/>
    <s v="expensive"/>
  </r>
  <r>
    <x v="10"/>
    <n v="4"/>
    <n v="3"/>
    <s v="Moderate"/>
    <s v="keke, Taxi, Bike(okada)"/>
    <n v="4"/>
    <s v="fair"/>
    <n v="3"/>
    <n v="3"/>
    <s v="fair"/>
  </r>
  <r>
    <x v="10"/>
    <n v="3"/>
    <n v="4"/>
    <s v="Expensive"/>
    <s v="keke, Taxi, Bike(okada)"/>
    <n v="3"/>
    <s v="fair"/>
    <n v="1"/>
    <n v="4"/>
    <s v="fair"/>
  </r>
  <r>
    <x v="10"/>
    <n v="3"/>
    <n v="3"/>
    <s v="Moderate"/>
    <s v="keke, Bike(okada)"/>
    <n v="5"/>
    <s v="excellent"/>
    <n v="1"/>
    <n v="3"/>
    <s v="expensive"/>
  </r>
  <r>
    <x v="10"/>
    <n v="4"/>
    <m/>
    <s v="Moderate"/>
    <s v="keke, Taxi, Bike(okada)"/>
    <n v="4"/>
    <s v="fair"/>
    <n v="2"/>
    <n v="4"/>
    <s v="fair"/>
  </r>
  <r>
    <x v="10"/>
    <n v="4"/>
    <n v="4"/>
    <s v="Moderate"/>
    <s v="Taxi"/>
    <n v="3"/>
    <s v="fair"/>
    <n v="2"/>
    <n v="4"/>
    <s v="fair"/>
  </r>
  <r>
    <x v="10"/>
    <n v="5"/>
    <n v="5"/>
    <s v="Moderate"/>
    <s v="Taxi"/>
    <n v="1"/>
    <s v="fair"/>
    <n v="3"/>
    <n v="2"/>
    <s v="fair"/>
  </r>
  <r>
    <x v="11"/>
    <n v="4"/>
    <n v="3"/>
    <s v="Moderate"/>
    <s v="keke ,Taxi ,Bike(okada)"/>
    <n v="3"/>
    <s v="fair"/>
    <n v="2"/>
    <n v="4"/>
    <s v="MODERATE"/>
  </r>
  <r>
    <x v="11"/>
    <n v="4"/>
    <n v="4"/>
    <s v="Moderate"/>
    <s v="keke ,Taxi ,Bike(okada)"/>
    <n v="2"/>
    <s v="fair"/>
    <n v="4"/>
    <n v="4"/>
    <s v="MODERATE"/>
  </r>
  <r>
    <x v="12"/>
    <n v="4"/>
    <n v="2"/>
    <s v="Moderate"/>
    <s v="keke, Taxi, Bus, Bike(okada)"/>
    <n v="4"/>
    <s v="fair"/>
    <n v="1"/>
    <n v="4"/>
    <s v="fair"/>
  </r>
  <r>
    <x v="12"/>
    <n v="2"/>
    <n v="1"/>
    <s v="Moderate"/>
    <s v="Bike(okada)"/>
    <n v="2"/>
    <s v="fair"/>
    <n v="1"/>
    <n v="2"/>
    <s v="expensive"/>
  </r>
  <r>
    <x v="12"/>
    <n v="4"/>
    <n v="4"/>
    <s v="Moderate"/>
    <s v="Taxi"/>
    <n v="3"/>
    <s v="fair"/>
    <n v="2"/>
    <n v="2"/>
    <s v="fair"/>
  </r>
  <r>
    <x v="12"/>
    <n v="3"/>
    <n v="3"/>
    <s v="Cheap"/>
    <s v="Taxi"/>
    <n v="4"/>
    <s v="excellent"/>
    <n v="2"/>
    <n v="5"/>
    <s v="fair"/>
  </r>
  <r>
    <x v="13"/>
    <n v="4"/>
    <n v="4"/>
    <s v="Cheap"/>
    <s v="Taxi"/>
    <n v="2"/>
    <s v="fair"/>
    <n v="4"/>
    <n v="4"/>
    <s v="fair"/>
  </r>
  <r>
    <x v="14"/>
    <n v="2"/>
    <n v="3"/>
    <s v="Cheap"/>
    <s v="keke ,Taxi ,Bus ,Bike(okada)"/>
    <n v="2"/>
    <s v="poor"/>
    <n v="1"/>
    <n v="1"/>
    <s v="fair"/>
  </r>
  <r>
    <x v="15"/>
    <n v="3"/>
    <n v="2"/>
    <s v="Moderate"/>
    <s v="Bus"/>
    <n v="4"/>
    <s v="fair"/>
    <n v="1"/>
    <n v="3"/>
    <s v="fair"/>
  </r>
  <r>
    <x v="16"/>
    <n v="3"/>
    <n v="2"/>
    <s v="Cheap"/>
    <s v="keke ,Taxi ,Bus ,Bike(okada)"/>
    <n v="2"/>
    <s v="poor"/>
    <n v="2"/>
    <n v="5"/>
    <s v="CHEAP"/>
  </r>
  <r>
    <x v="16"/>
    <n v="2"/>
    <n v="1"/>
    <s v="Cheap"/>
    <s v="keke ,Taxi ,Bus ,Bike(okada)"/>
    <n v="2"/>
    <s v="fair"/>
    <n v="1"/>
    <n v="5"/>
    <s v="CHEAP"/>
  </r>
  <r>
    <x v="17"/>
    <n v="4"/>
    <n v="4"/>
    <s v="Cheap"/>
    <s v="keke ,Taxi"/>
    <n v="4"/>
    <s v="fair"/>
    <n v="1"/>
    <n v="5"/>
    <s v="CHEAP"/>
  </r>
  <r>
    <x v="17"/>
    <n v="3"/>
    <n v="4"/>
    <s v="Cheap"/>
    <s v="keke ,Taxi"/>
    <n v="4"/>
    <s v="fair"/>
    <n v="2"/>
    <n v="5"/>
    <s v="CHEAP"/>
  </r>
  <r>
    <x v="18"/>
    <n v="4"/>
    <n v="5"/>
    <s v="Moderate"/>
    <s v="Taxi"/>
    <n v="3"/>
    <s v="fair"/>
    <n v="5"/>
    <n v="5"/>
    <s v="fair"/>
  </r>
  <r>
    <x v="18"/>
    <n v="4"/>
    <n v="4"/>
    <s v="Moderate"/>
    <s v="Taxi"/>
    <n v="4"/>
    <s v="excellent"/>
    <n v="5"/>
    <n v="5"/>
    <s v="expensive"/>
  </r>
  <r>
    <x v="18"/>
    <n v="4"/>
    <n v="4"/>
    <s v="Moderate"/>
    <s v="keke ,Taxi "/>
    <n v="4"/>
    <s v="fair"/>
    <n v="3"/>
    <n v="4"/>
    <s v="fair"/>
  </r>
  <r>
    <x v="19"/>
    <n v="4"/>
    <n v="5"/>
    <s v="Expensive"/>
    <s v="keke ,Taxi , Bike(okada)"/>
    <n v="4"/>
    <s v="fair"/>
    <n v="2"/>
    <n v="4"/>
    <s v="MODERATE"/>
  </r>
  <r>
    <x v="19"/>
    <n v="4"/>
    <n v="4"/>
    <s v="Expensive"/>
    <s v="keke ,Taxi , Bike(okada)"/>
    <n v="5"/>
    <s v="fair"/>
    <n v="2"/>
    <n v="4"/>
    <s v="MODERATE"/>
  </r>
  <r>
    <x v="20"/>
    <n v="3"/>
    <n v="3"/>
    <s v="Moderate"/>
    <s v="keke, Taxi, Bus, Bike(okada)"/>
    <n v="2"/>
    <s v="fair"/>
    <n v="1"/>
    <n v="1"/>
    <s v="fai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E98B1-3478-4ED5-AA25-5EDD8B49FCFA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G3:H24" firstHeaderRow="1" firstDataRow="1" firstDataCol="1"/>
  <pivotFields count="10">
    <pivotField axis="axisRow" compact="0" outline="0" showAll="0" defaultSubtota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Average of How would you rate your access to healthcare facilities (hospitals , pharmacies , etc)?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64546-2624-4E66-8AD0-8C85B4113E33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D3:E24" firstHeaderRow="1" firstDataRow="1" firstDataCol="1"/>
  <pivotFields count="10">
    <pivotField axis="axisRow" compact="0" outline="0" showAll="0" defaultSubtota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Average of What’s the overall road quality in your area?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4958BB-CDB1-4D04-85A3-3C58338DF197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B24" firstHeaderRow="1" firstDataRow="1" firstDataCol="1"/>
  <pivotFields count="10">
    <pivotField axis="axisRow" compact="0" outline="0" showAll="0" defaultSubtota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Average of Rate your safety status  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3F7EC-77F0-42D7-8CC2-1CC967A67334}" name="PivotTable1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D26:E47" firstHeaderRow="1" firstDataRow="1" firstDataCol="1"/>
  <pivotFields count="10">
    <pivotField axis="axisRow" compact="0" outline="0" showAll="0" defaultSubtota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Average of What would you rate the availability of supermarket and stores?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30F36C-1025-45A7-B6AA-01983DA71CA6}" name="PivotTable1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26:B47" firstHeaderRow="1" firstDataRow="1" firstDataCol="1"/>
  <pivotFields count="10">
    <pivotField axis="axisRow" compact="0" outline="0" showAll="0" defaultSubtota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Average of What would you rate the availability of recreational areas (parks , sport complexes , tourist attractions , fun zones ,etc)?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B657-D187-40B9-933C-AE6B04EDF6AD}">
  <dimension ref="A1:T22"/>
  <sheetViews>
    <sheetView tabSelected="1" workbookViewId="0">
      <selection activeCell="C30" sqref="C30"/>
    </sheetView>
  </sheetViews>
  <sheetFormatPr defaultRowHeight="14.4" x14ac:dyDescent="0.3"/>
  <cols>
    <col min="1" max="1" width="13.88671875" customWidth="1"/>
    <col min="2" max="2" width="33.5546875" customWidth="1"/>
    <col min="3" max="3" width="35.6640625" bestFit="1" customWidth="1"/>
    <col min="4" max="4" width="35.6640625" customWidth="1"/>
    <col min="5" max="5" width="17.77734375" style="7" customWidth="1"/>
    <col min="6" max="6" width="15.21875" style="7" bestFit="1" customWidth="1"/>
    <col min="7" max="7" width="16.21875" style="7" customWidth="1"/>
    <col min="8" max="10" width="17.88671875" customWidth="1"/>
    <col min="11" max="11" width="14.6640625" style="12" customWidth="1"/>
    <col min="12" max="12" width="20.6640625" style="12" bestFit="1" customWidth="1"/>
    <col min="13" max="13" width="18.44140625" style="9" bestFit="1" customWidth="1"/>
    <col min="14" max="14" width="20.88671875" customWidth="1"/>
    <col min="15" max="15" width="12.33203125" customWidth="1"/>
    <col min="16" max="16" width="16.109375" style="12" bestFit="1" customWidth="1"/>
    <col min="17" max="17" width="19.109375" customWidth="1"/>
    <col min="18" max="18" width="13" style="12" customWidth="1"/>
    <col min="19" max="19" width="14.44140625" bestFit="1" customWidth="1"/>
    <col min="20" max="20" width="13.88671875" customWidth="1"/>
  </cols>
  <sheetData>
    <row r="1" spans="1:20" s="4" customFormat="1" ht="54" customHeight="1" x14ac:dyDescent="0.3">
      <c r="A1" s="4" t="s">
        <v>160</v>
      </c>
      <c r="B1" s="4" t="s">
        <v>159</v>
      </c>
      <c r="C1" s="4" t="s">
        <v>172</v>
      </c>
      <c r="D1" s="4" t="s">
        <v>173</v>
      </c>
      <c r="E1" s="6" t="s">
        <v>169</v>
      </c>
      <c r="F1" s="6" t="s">
        <v>170</v>
      </c>
      <c r="G1" s="6" t="s">
        <v>171</v>
      </c>
      <c r="H1" s="4" t="s">
        <v>158</v>
      </c>
      <c r="I1" s="4" t="s">
        <v>157</v>
      </c>
      <c r="J1" s="4" t="s">
        <v>156</v>
      </c>
      <c r="K1" s="11" t="s">
        <v>155</v>
      </c>
      <c r="L1" s="11" t="s">
        <v>154</v>
      </c>
      <c r="M1" s="8" t="s">
        <v>153</v>
      </c>
      <c r="N1" s="5" t="s">
        <v>219</v>
      </c>
      <c r="O1" s="5" t="s">
        <v>152</v>
      </c>
      <c r="P1" s="13" t="s">
        <v>161</v>
      </c>
      <c r="Q1" s="5" t="s">
        <v>151</v>
      </c>
      <c r="R1" s="11" t="s">
        <v>162</v>
      </c>
      <c r="S1" s="5" t="s">
        <v>163</v>
      </c>
      <c r="T1" s="5" t="s">
        <v>150</v>
      </c>
    </row>
    <row r="2" spans="1:20" x14ac:dyDescent="0.3">
      <c r="A2" t="s">
        <v>46</v>
      </c>
      <c r="B2" t="s">
        <v>167</v>
      </c>
      <c r="C2">
        <v>9.1547595945906401</v>
      </c>
      <c r="D2">
        <v>7.3245684313451598</v>
      </c>
      <c r="E2" s="7">
        <v>800000</v>
      </c>
      <c r="F2" s="7">
        <v>6500000</v>
      </c>
      <c r="G2" s="7">
        <v>1500000</v>
      </c>
      <c r="H2" t="s">
        <v>180</v>
      </c>
      <c r="I2" t="s">
        <v>55</v>
      </c>
      <c r="J2" t="s">
        <v>148</v>
      </c>
      <c r="K2" s="12">
        <f>_xlfn.XLOOKUP('Main Data'!A2,'PIVOT TABLES'!$A$4:$A$24,'PIVOT TABLES'!$B$4:$B$24,"N/A")</f>
        <v>3.8333333333333335</v>
      </c>
      <c r="L2" s="12">
        <f>_xlfn.XLOOKUP(A2,'PIVOT TABLES'!$D$4:$D$24,'PIVOT TABLES'!$E$4:$E$24,"n/a")</f>
        <v>3</v>
      </c>
      <c r="M2" s="9" t="s">
        <v>185</v>
      </c>
      <c r="N2" t="s">
        <v>207</v>
      </c>
      <c r="O2" t="s">
        <v>53</v>
      </c>
      <c r="P2" s="12">
        <f>_xlfn.XLOOKUP(A2,'PIVOT TABLES'!$G$4:$G$24,'PIVOT TABLES'!$H$4:$H$24,"N/A")</f>
        <v>3.5</v>
      </c>
      <c r="Q2" t="s">
        <v>149</v>
      </c>
      <c r="R2" s="12">
        <f>_xlfn.XLOOKUP(A2,'PIVOT TABLES'!$A$27:$A$47,'PIVOT TABLES'!$B$27:$B$47,"N/A")</f>
        <v>1.8333333333333333</v>
      </c>
      <c r="S2" s="12">
        <f>_xlfn.XLOOKUP(A2,'PIVOT TABLES'!$D$27:$D$47,'PIVOT TABLES'!$E$27:$E$47,"N/A")</f>
        <v>3.8333333333333335</v>
      </c>
      <c r="T2" t="s">
        <v>208</v>
      </c>
    </row>
    <row r="3" spans="1:20" x14ac:dyDescent="0.3">
      <c r="A3" t="s">
        <v>48</v>
      </c>
      <c r="B3" t="s">
        <v>144</v>
      </c>
      <c r="C3">
        <v>8.9638250931439991</v>
      </c>
      <c r="D3">
        <v>7.3813378486369503</v>
      </c>
      <c r="E3" s="7">
        <v>800000</v>
      </c>
      <c r="F3" s="7">
        <v>5000000</v>
      </c>
      <c r="G3" s="7">
        <v>1500000</v>
      </c>
      <c r="H3" t="s">
        <v>180</v>
      </c>
      <c r="I3" t="s">
        <v>55</v>
      </c>
      <c r="J3" t="s">
        <v>148</v>
      </c>
      <c r="K3" s="12">
        <f>_xlfn.XLOOKUP('Main Data'!A3,'PIVOT TABLES'!$A$4:$A$24,'PIVOT TABLES'!$B$4:$B$24,"N/A")</f>
        <v>3.25</v>
      </c>
      <c r="L3" s="12">
        <f>_xlfn.XLOOKUP(A3,'PIVOT TABLES'!$D$4:$D$24,'PIVOT TABLES'!$E$4:$E$24,"n/a")</f>
        <v>2.5</v>
      </c>
      <c r="M3" s="9" t="s">
        <v>185</v>
      </c>
      <c r="N3" t="s">
        <v>209</v>
      </c>
      <c r="O3" t="s">
        <v>53</v>
      </c>
      <c r="P3" s="12">
        <f>_xlfn.XLOOKUP(A3,'PIVOT TABLES'!$G$4:$G$24,'PIVOT TABLES'!$H$4:$H$24,"N/A")</f>
        <v>3.25</v>
      </c>
      <c r="Q3" t="s">
        <v>149</v>
      </c>
      <c r="R3" s="12">
        <f>_xlfn.XLOOKUP(A3,'PIVOT TABLES'!$A$27:$A$47,'PIVOT TABLES'!$B$27:$B$47,"N/A")</f>
        <v>1.5</v>
      </c>
      <c r="S3" s="12">
        <f>_xlfn.XLOOKUP(A3,'PIVOT TABLES'!$D$27:$D$47,'PIVOT TABLES'!$E$27:$E$47,"N/A")</f>
        <v>3.25</v>
      </c>
      <c r="T3" t="s">
        <v>149</v>
      </c>
    </row>
    <row r="4" spans="1:20" x14ac:dyDescent="0.3">
      <c r="A4" t="s">
        <v>147</v>
      </c>
      <c r="B4" t="s">
        <v>144</v>
      </c>
      <c r="C4">
        <v>9.0888362891171504</v>
      </c>
      <c r="D4">
        <v>7.4260699984501199</v>
      </c>
      <c r="E4" s="7">
        <v>3000000</v>
      </c>
      <c r="F4" s="7">
        <v>20000000</v>
      </c>
      <c r="G4" s="7">
        <v>3500000</v>
      </c>
      <c r="H4" t="s">
        <v>55</v>
      </c>
      <c r="I4" t="s">
        <v>55</v>
      </c>
      <c r="J4" t="s">
        <v>148</v>
      </c>
      <c r="K4" s="12">
        <f>_xlfn.XLOOKUP('Main Data'!A4,'PIVOT TABLES'!$A$4:$A$24,'PIVOT TABLES'!$B$4:$B$24,"N/A")</f>
        <v>4.5</v>
      </c>
      <c r="L4" s="12">
        <f>_xlfn.XLOOKUP(A4,'PIVOT TABLES'!$D$4:$D$24,'PIVOT TABLES'!$E$4:$E$24,"n/a")</f>
        <v>5</v>
      </c>
      <c r="M4" s="9" t="s">
        <v>182</v>
      </c>
      <c r="N4" t="s">
        <v>210</v>
      </c>
      <c r="O4" t="s">
        <v>62</v>
      </c>
      <c r="P4" s="12">
        <f>_xlfn.XLOOKUP(A4,'PIVOT TABLES'!$G$4:$G$24,'PIVOT TABLES'!$H$4:$H$24,"N/A")</f>
        <v>3.5</v>
      </c>
      <c r="Q4" t="s">
        <v>211</v>
      </c>
      <c r="R4" s="12">
        <f>_xlfn.XLOOKUP(A4,'PIVOT TABLES'!$A$27:$A$47,'PIVOT TABLES'!$B$27:$B$47,"N/A")</f>
        <v>3</v>
      </c>
      <c r="S4" s="12">
        <f>_xlfn.XLOOKUP(A4,'PIVOT TABLES'!$D$27:$D$47,'PIVOT TABLES'!$E$27:$E$47,"N/A")</f>
        <v>4</v>
      </c>
      <c r="T4" t="s">
        <v>62</v>
      </c>
    </row>
    <row r="5" spans="1:20" x14ac:dyDescent="0.3">
      <c r="A5" t="s">
        <v>78</v>
      </c>
      <c r="B5" t="s">
        <v>144</v>
      </c>
      <c r="C5">
        <v>9.0198629066560798</v>
      </c>
      <c r="D5">
        <v>7.4659707888419202</v>
      </c>
      <c r="E5" s="7">
        <v>2200000</v>
      </c>
      <c r="F5" s="7">
        <v>6000000</v>
      </c>
      <c r="G5" s="7">
        <v>2500000</v>
      </c>
      <c r="H5" t="s">
        <v>55</v>
      </c>
      <c r="I5" t="s">
        <v>181</v>
      </c>
      <c r="J5" t="s">
        <v>148</v>
      </c>
      <c r="K5" s="12">
        <f>_xlfn.XLOOKUP('Main Data'!A5,'PIVOT TABLES'!$A$4:$A$24,'PIVOT TABLES'!$B$4:$B$24,"N/A")</f>
        <v>3</v>
      </c>
      <c r="L5" s="12">
        <f>_xlfn.XLOOKUP(A5,'PIVOT TABLES'!$D$4:$D$24,'PIVOT TABLES'!$E$4:$E$24,"n/a")</f>
        <v>1</v>
      </c>
      <c r="M5" s="9" t="s">
        <v>183</v>
      </c>
      <c r="N5" t="s">
        <v>212</v>
      </c>
      <c r="O5" t="s">
        <v>53</v>
      </c>
      <c r="P5" s="12">
        <f>_xlfn.XLOOKUP(A5,'PIVOT TABLES'!$G$4:$G$24,'PIVOT TABLES'!$H$4:$H$24,"N/A")</f>
        <v>3</v>
      </c>
      <c r="Q5" t="s">
        <v>213</v>
      </c>
      <c r="R5" s="12">
        <f>_xlfn.XLOOKUP(A5,'PIVOT TABLES'!$A$27:$A$47,'PIVOT TABLES'!$B$27:$B$47,"N/A")</f>
        <v>2</v>
      </c>
      <c r="S5" s="12">
        <f>_xlfn.XLOOKUP(A5,'PIVOT TABLES'!$D$27:$D$47,'PIVOT TABLES'!$E$27:$E$47,"N/A")</f>
        <v>4</v>
      </c>
      <c r="T5" t="s">
        <v>149</v>
      </c>
    </row>
    <row r="6" spans="1:20" x14ac:dyDescent="0.3">
      <c r="A6" t="s">
        <v>134</v>
      </c>
      <c r="B6" t="s">
        <v>144</v>
      </c>
      <c r="C6">
        <v>9.0317906698395696</v>
      </c>
      <c r="D6">
        <v>7.4824468589898299</v>
      </c>
      <c r="E6" s="7">
        <v>2000000</v>
      </c>
      <c r="F6" s="7">
        <v>5500000</v>
      </c>
      <c r="G6" s="7">
        <v>2500000</v>
      </c>
      <c r="H6" t="s">
        <v>55</v>
      </c>
      <c r="I6" t="s">
        <v>181</v>
      </c>
      <c r="J6" t="s">
        <v>148</v>
      </c>
      <c r="K6" s="12">
        <f>_xlfn.XLOOKUP('Main Data'!A6,'PIVOT TABLES'!$A$4:$A$24,'PIVOT TABLES'!$B$4:$B$24,"N/A")</f>
        <v>4</v>
      </c>
      <c r="L6" s="12">
        <f>_xlfn.XLOOKUP(A6,'PIVOT TABLES'!$D$4:$D$24,'PIVOT TABLES'!$E$4:$E$24,"n/a")</f>
        <v>4</v>
      </c>
      <c r="M6" s="9" t="s">
        <v>183</v>
      </c>
      <c r="N6" t="s">
        <v>54</v>
      </c>
      <c r="O6" t="s">
        <v>62</v>
      </c>
      <c r="P6" s="12">
        <f>_xlfn.XLOOKUP(A6,'PIVOT TABLES'!$G$4:$G$24,'PIVOT TABLES'!$H$4:$H$24,"N/A")</f>
        <v>5</v>
      </c>
      <c r="Q6" t="s">
        <v>149</v>
      </c>
      <c r="R6" s="12">
        <f>_xlfn.XLOOKUP(A6,'PIVOT TABLES'!$A$27:$A$47,'PIVOT TABLES'!$B$27:$B$47,"N/A")</f>
        <v>4</v>
      </c>
      <c r="S6" s="12">
        <f>_xlfn.XLOOKUP(A6,'PIVOT TABLES'!$D$27:$D$47,'PIVOT TABLES'!$E$27:$E$47,"N/A")</f>
        <v>5</v>
      </c>
      <c r="T6" t="s">
        <v>149</v>
      </c>
    </row>
    <row r="7" spans="1:20" x14ac:dyDescent="0.3">
      <c r="A7" t="s">
        <v>122</v>
      </c>
      <c r="B7" t="s">
        <v>144</v>
      </c>
      <c r="C7">
        <v>9.1091920681320104</v>
      </c>
      <c r="D7">
        <v>7.4959101504627599</v>
      </c>
      <c r="E7" s="7">
        <v>5000000</v>
      </c>
      <c r="F7" s="7">
        <v>140000000</v>
      </c>
      <c r="G7" s="7">
        <v>5000000</v>
      </c>
      <c r="H7" t="s">
        <v>55</v>
      </c>
      <c r="I7" t="s">
        <v>181</v>
      </c>
      <c r="J7" t="s">
        <v>148</v>
      </c>
      <c r="K7" s="12">
        <f>_xlfn.XLOOKUP('Main Data'!A7,'PIVOT TABLES'!$A$4:$A$24,'PIVOT TABLES'!$B$4:$B$24,"N/A")</f>
        <v>4</v>
      </c>
      <c r="L7" s="12">
        <f>_xlfn.XLOOKUP(A7,'PIVOT TABLES'!$D$4:$D$24,'PIVOT TABLES'!$E$4:$E$24,"n/a")</f>
        <v>4</v>
      </c>
      <c r="M7" s="9" t="s">
        <v>184</v>
      </c>
      <c r="N7" t="s">
        <v>54</v>
      </c>
      <c r="O7" t="s">
        <v>116</v>
      </c>
      <c r="P7" s="12">
        <f>_xlfn.XLOOKUP(A7,'PIVOT TABLES'!$G$4:$G$24,'PIVOT TABLES'!$H$4:$H$24,"N/A")</f>
        <v>2</v>
      </c>
      <c r="Q7" t="s">
        <v>149</v>
      </c>
      <c r="R7" s="12">
        <f>_xlfn.XLOOKUP(A7,'PIVOT TABLES'!$A$27:$A$47,'PIVOT TABLES'!$B$27:$B$47,"N/A")</f>
        <v>4</v>
      </c>
      <c r="S7" s="12">
        <f>_xlfn.XLOOKUP(A7,'PIVOT TABLES'!$D$27:$D$47,'PIVOT TABLES'!$E$27:$E$47,"N/A")</f>
        <v>4</v>
      </c>
      <c r="T7" t="s">
        <v>149</v>
      </c>
    </row>
    <row r="8" spans="1:20" x14ac:dyDescent="0.3">
      <c r="A8" t="s">
        <v>52</v>
      </c>
      <c r="B8" t="s">
        <v>144</v>
      </c>
      <c r="C8">
        <v>9.0754166180504097</v>
      </c>
      <c r="D8">
        <v>7.4774254504462796</v>
      </c>
      <c r="E8" s="7">
        <v>2000000</v>
      </c>
      <c r="F8" s="7">
        <v>70000000</v>
      </c>
      <c r="G8" s="7">
        <v>2000000</v>
      </c>
      <c r="H8" t="s">
        <v>55</v>
      </c>
      <c r="I8" t="s">
        <v>181</v>
      </c>
      <c r="J8" t="s">
        <v>148</v>
      </c>
      <c r="K8" s="12">
        <f>_xlfn.XLOOKUP('Main Data'!A8,'PIVOT TABLES'!$A$4:$A$24,'PIVOT TABLES'!$B$4:$B$24,"N/A")</f>
        <v>4</v>
      </c>
      <c r="L8" s="12">
        <f>_xlfn.XLOOKUP(A8,'PIVOT TABLES'!$D$4:$D$24,'PIVOT TABLES'!$E$4:$E$24,"n/a")</f>
        <v>4.333333333333333</v>
      </c>
      <c r="M8" s="9" t="s">
        <v>184</v>
      </c>
      <c r="N8" t="s">
        <v>214</v>
      </c>
      <c r="O8" t="s">
        <v>53</v>
      </c>
      <c r="P8" s="12">
        <f>_xlfn.XLOOKUP(A8,'PIVOT TABLES'!$G$4:$G$24,'PIVOT TABLES'!$H$4:$H$24,"N/A")</f>
        <v>3.6666666666666665</v>
      </c>
      <c r="Q8" t="s">
        <v>211</v>
      </c>
      <c r="R8" s="12">
        <f>_xlfn.XLOOKUP(A8,'PIVOT TABLES'!$A$27:$A$47,'PIVOT TABLES'!$B$27:$B$47,"N/A")</f>
        <v>4.333333333333333</v>
      </c>
      <c r="S8" s="12">
        <f>_xlfn.XLOOKUP(A8,'PIVOT TABLES'!$D$27:$D$47,'PIVOT TABLES'!$E$27:$E$47,"N/A")</f>
        <v>4.666666666666667</v>
      </c>
      <c r="T8" t="s">
        <v>208</v>
      </c>
    </row>
    <row r="9" spans="1:20" x14ac:dyDescent="0.3">
      <c r="A9" t="s">
        <v>146</v>
      </c>
      <c r="B9" t="s">
        <v>144</v>
      </c>
      <c r="C9">
        <v>9.0392417673723102</v>
      </c>
      <c r="D9">
        <v>7.4152325294010097</v>
      </c>
      <c r="E9" s="7">
        <v>2000000</v>
      </c>
      <c r="F9" s="7">
        <v>80000000</v>
      </c>
      <c r="G9" s="7">
        <v>25000000</v>
      </c>
      <c r="H9" t="s">
        <v>55</v>
      </c>
      <c r="I9" t="s">
        <v>181</v>
      </c>
      <c r="J9" t="s">
        <v>148</v>
      </c>
      <c r="K9" s="12">
        <f>_xlfn.XLOOKUP('Main Data'!A9,'PIVOT TABLES'!$A$4:$A$24,'PIVOT TABLES'!$B$4:$B$24,"N/A")</f>
        <v>5</v>
      </c>
      <c r="L9" s="12">
        <f>_xlfn.XLOOKUP(A9,'PIVOT TABLES'!$D$4:$D$24,'PIVOT TABLES'!$E$4:$E$24,"n/a")</f>
        <v>5</v>
      </c>
      <c r="M9" s="9" t="s">
        <v>183</v>
      </c>
      <c r="N9" t="s">
        <v>210</v>
      </c>
      <c r="O9" t="s">
        <v>62</v>
      </c>
      <c r="P9" s="12">
        <f>_xlfn.XLOOKUP(A9,'PIVOT TABLES'!$G$4:$G$24,'PIVOT TABLES'!$H$4:$H$24,"N/A")</f>
        <v>2</v>
      </c>
      <c r="Q9" t="s">
        <v>211</v>
      </c>
      <c r="R9" s="12">
        <f>_xlfn.XLOOKUP(A9,'PIVOT TABLES'!$A$27:$A$47,'PIVOT TABLES'!$B$27:$B$47,"N/A")</f>
        <v>4.5</v>
      </c>
      <c r="S9" s="12">
        <f>_xlfn.XLOOKUP(A9,'PIVOT TABLES'!$D$27:$D$47,'PIVOT TABLES'!$E$27:$E$47,"N/A")</f>
        <v>3</v>
      </c>
      <c r="T9" t="s">
        <v>53</v>
      </c>
    </row>
    <row r="10" spans="1:20" x14ac:dyDescent="0.3">
      <c r="A10" t="s">
        <v>145</v>
      </c>
      <c r="B10" t="s">
        <v>144</v>
      </c>
      <c r="C10">
        <v>9.0677037189653493</v>
      </c>
      <c r="D10">
        <v>7.4463547418322902</v>
      </c>
      <c r="E10" s="7">
        <v>3000000</v>
      </c>
      <c r="F10" s="7">
        <v>40000000</v>
      </c>
      <c r="G10" s="7">
        <v>3500000</v>
      </c>
      <c r="H10" t="s">
        <v>55</v>
      </c>
      <c r="I10" t="s">
        <v>181</v>
      </c>
      <c r="J10" t="s">
        <v>148</v>
      </c>
      <c r="K10" s="12">
        <f>_xlfn.XLOOKUP('Main Data'!A10,'PIVOT TABLES'!$A$4:$A$24,'PIVOT TABLES'!$B$4:$B$24,"N/A")</f>
        <v>3.5</v>
      </c>
      <c r="L10" s="12">
        <f>_xlfn.XLOOKUP(A10,'PIVOT TABLES'!$D$4:$D$24,'PIVOT TABLES'!$E$4:$E$24,"n/a")</f>
        <v>4</v>
      </c>
      <c r="M10" s="9" t="s">
        <v>182</v>
      </c>
      <c r="N10" t="s">
        <v>210</v>
      </c>
      <c r="O10" t="s">
        <v>116</v>
      </c>
      <c r="P10" s="12">
        <f>_xlfn.XLOOKUP(A10,'PIVOT TABLES'!$G$4:$G$24,'PIVOT TABLES'!$H$4:$H$24,"N/A")</f>
        <v>4</v>
      </c>
      <c r="Q10" t="s">
        <v>149</v>
      </c>
      <c r="R10" s="12">
        <f>_xlfn.XLOOKUP(A10,'PIVOT TABLES'!$A$27:$A$47,'PIVOT TABLES'!$B$27:$B$47,"N/A")</f>
        <v>1.5</v>
      </c>
      <c r="S10" s="12">
        <f>_xlfn.XLOOKUP(A10,'PIVOT TABLES'!$D$27:$D$47,'PIVOT TABLES'!$E$27:$E$47,"N/A")</f>
        <v>5</v>
      </c>
      <c r="T10" t="s">
        <v>116</v>
      </c>
    </row>
    <row r="11" spans="1:20" x14ac:dyDescent="0.3">
      <c r="A11" t="s">
        <v>115</v>
      </c>
      <c r="B11" t="s">
        <v>144</v>
      </c>
      <c r="C11">
        <v>8.9953852093358808</v>
      </c>
      <c r="D11">
        <v>7.5268038808870399</v>
      </c>
      <c r="E11" s="7">
        <v>4000000</v>
      </c>
      <c r="F11" s="7">
        <v>60000000</v>
      </c>
      <c r="G11" s="7">
        <v>4000000</v>
      </c>
      <c r="H11" t="s">
        <v>55</v>
      </c>
      <c r="I11" t="s">
        <v>181</v>
      </c>
      <c r="J11" t="s">
        <v>148</v>
      </c>
      <c r="K11" s="12">
        <f>_xlfn.XLOOKUP('Main Data'!A11,'PIVOT TABLES'!$A$4:$A$24,'PIVOT TABLES'!$B$4:$B$24,"N/A")</f>
        <v>4</v>
      </c>
      <c r="L11" s="12">
        <f>_xlfn.XLOOKUP(A11,'PIVOT TABLES'!$D$4:$D$24,'PIVOT TABLES'!$E$4:$E$24,"n/a")</f>
        <v>4</v>
      </c>
      <c r="M11" s="9" t="s">
        <v>183</v>
      </c>
      <c r="N11" t="s">
        <v>210</v>
      </c>
      <c r="O11" t="s">
        <v>116</v>
      </c>
      <c r="P11" s="12">
        <f>_xlfn.XLOOKUP(A11,'PIVOT TABLES'!$G$4:$G$24,'PIVOT TABLES'!$H$4:$H$24,"N/A")</f>
        <v>3</v>
      </c>
      <c r="Q11" t="s">
        <v>149</v>
      </c>
      <c r="R11" s="12">
        <f>_xlfn.XLOOKUP(A11,'PIVOT TABLES'!$A$27:$A$47,'PIVOT TABLES'!$B$27:$B$47,"N/A")</f>
        <v>4</v>
      </c>
      <c r="S11" s="12">
        <f>_xlfn.XLOOKUP(A11,'PIVOT TABLES'!$D$27:$D$47,'PIVOT TABLES'!$E$27:$E$47,"N/A")</f>
        <v>4</v>
      </c>
      <c r="T11" t="s">
        <v>149</v>
      </c>
    </row>
    <row r="12" spans="1:20" x14ac:dyDescent="0.3">
      <c r="A12" t="s">
        <v>44</v>
      </c>
      <c r="B12" t="s">
        <v>144</v>
      </c>
      <c r="C12">
        <v>9.1098999999999997</v>
      </c>
      <c r="D12">
        <v>7.4042000000000003</v>
      </c>
      <c r="E12" s="7">
        <v>1000000</v>
      </c>
      <c r="F12" s="7">
        <v>8000000</v>
      </c>
      <c r="G12" s="7">
        <v>2550000</v>
      </c>
      <c r="H12" t="s">
        <v>55</v>
      </c>
      <c r="I12" t="s">
        <v>181</v>
      </c>
      <c r="J12" t="s">
        <v>148</v>
      </c>
      <c r="K12" s="12">
        <f>_xlfn.XLOOKUP('Main Data'!A12,'PIVOT TABLES'!$A$4:$A$24,'PIVOT TABLES'!$B$4:$B$24,"N/A")</f>
        <v>4.333333333333333</v>
      </c>
      <c r="L12" s="12">
        <f>_xlfn.XLOOKUP(A12,'PIVOT TABLES'!$D$4:$D$24,'PIVOT TABLES'!$E$4:$E$24,"n/a")</f>
        <v>3.3333333333333335</v>
      </c>
      <c r="M12" s="9" t="s">
        <v>183</v>
      </c>
      <c r="N12" t="s">
        <v>210</v>
      </c>
      <c r="O12" t="s">
        <v>53</v>
      </c>
      <c r="P12" s="12">
        <f>_xlfn.XLOOKUP(A12,'PIVOT TABLES'!$G$4:$G$24,'PIVOT TABLES'!$H$4:$H$24,"N/A")</f>
        <v>3.3333333333333335</v>
      </c>
      <c r="Q12" t="s">
        <v>149</v>
      </c>
      <c r="R12" s="12">
        <f>_xlfn.XLOOKUP(A12,'PIVOT TABLES'!$A$27:$A$47,'PIVOT TABLES'!$B$27:$B$47,"N/A")</f>
        <v>3.6666666666666665</v>
      </c>
      <c r="S12" s="12">
        <f>_xlfn.XLOOKUP(A12,'PIVOT TABLES'!$D$27:$D$47,'PIVOT TABLES'!$E$27:$E$47,"N/A")</f>
        <v>4</v>
      </c>
      <c r="T12" t="s">
        <v>62</v>
      </c>
    </row>
    <row r="13" spans="1:20" x14ac:dyDescent="0.3">
      <c r="A13" t="s">
        <v>87</v>
      </c>
      <c r="B13" t="s">
        <v>166</v>
      </c>
      <c r="C13">
        <v>9.1022999999999996</v>
      </c>
      <c r="D13">
        <v>7.1951999999999998</v>
      </c>
      <c r="E13" s="7">
        <v>250000</v>
      </c>
      <c r="F13" s="7">
        <v>1000000</v>
      </c>
      <c r="G13" s="7">
        <v>500000</v>
      </c>
      <c r="H13" t="s">
        <v>180</v>
      </c>
      <c r="I13" t="s">
        <v>180</v>
      </c>
      <c r="J13" t="s">
        <v>55</v>
      </c>
      <c r="K13" s="12">
        <f>_xlfn.XLOOKUP('Main Data'!A13,'PIVOT TABLES'!$A$4:$A$24,'PIVOT TABLES'!$B$4:$B$24,"N/A")</f>
        <v>3</v>
      </c>
      <c r="L13" s="12">
        <f>_xlfn.XLOOKUP(A13,'PIVOT TABLES'!$D$4:$D$24,'PIVOT TABLES'!$E$4:$E$24,"n/a")</f>
        <v>3</v>
      </c>
      <c r="M13" s="9" t="s">
        <v>186</v>
      </c>
      <c r="N13" t="s">
        <v>207</v>
      </c>
      <c r="O13" t="s">
        <v>53</v>
      </c>
      <c r="P13" s="12">
        <f>_xlfn.XLOOKUP(A13,'PIVOT TABLES'!$G$4:$G$24,'PIVOT TABLES'!$H$4:$H$24,"N/A")</f>
        <v>2</v>
      </c>
      <c r="Q13" t="s">
        <v>149</v>
      </c>
      <c r="R13" s="12">
        <f>_xlfn.XLOOKUP(A13,'PIVOT TABLES'!$A$27:$A$47,'PIVOT TABLES'!$B$27:$B$47,"N/A")</f>
        <v>1</v>
      </c>
      <c r="S13" s="12">
        <f>_xlfn.XLOOKUP(A13,'PIVOT TABLES'!$D$27:$D$47,'PIVOT TABLES'!$E$27:$E$47,"N/A")</f>
        <v>1</v>
      </c>
      <c r="T13" t="s">
        <v>149</v>
      </c>
    </row>
    <row r="14" spans="1:20" x14ac:dyDescent="0.3">
      <c r="A14" t="s">
        <v>73</v>
      </c>
      <c r="B14" t="s">
        <v>167</v>
      </c>
      <c r="C14">
        <v>9.1477000000000004</v>
      </c>
      <c r="D14">
        <v>7.4955999999999996</v>
      </c>
      <c r="E14" s="7">
        <v>550000</v>
      </c>
      <c r="F14" s="7">
        <v>550000</v>
      </c>
      <c r="G14" s="7">
        <v>550000</v>
      </c>
      <c r="H14" t="s">
        <v>180</v>
      </c>
      <c r="I14" t="s">
        <v>180</v>
      </c>
      <c r="J14" t="s">
        <v>55</v>
      </c>
      <c r="K14" s="12">
        <f>_xlfn.XLOOKUP('Main Data'!A14,'PIVOT TABLES'!$A$4:$A$24,'PIVOT TABLES'!$B$4:$B$24,"N/A")</f>
        <v>3</v>
      </c>
      <c r="L14" s="12">
        <f>_xlfn.XLOOKUP(A14,'PIVOT TABLES'!$D$4:$D$24,'PIVOT TABLES'!$E$4:$E$24,"n/a")</f>
        <v>2</v>
      </c>
      <c r="M14" s="9" t="s">
        <v>187</v>
      </c>
      <c r="N14" t="s">
        <v>220</v>
      </c>
      <c r="O14" t="s">
        <v>53</v>
      </c>
      <c r="P14" s="12">
        <f>_xlfn.XLOOKUP(A14,'PIVOT TABLES'!$G$4:$G$24,'PIVOT TABLES'!$H$4:$H$24,"N/A")</f>
        <v>4</v>
      </c>
      <c r="Q14" t="s">
        <v>149</v>
      </c>
      <c r="R14" s="12">
        <f>_xlfn.XLOOKUP(A14,'PIVOT TABLES'!$A$27:$A$47,'PIVOT TABLES'!$B$27:$B$47,"N/A")</f>
        <v>1</v>
      </c>
      <c r="S14" s="12">
        <f>_xlfn.XLOOKUP(A14,'PIVOT TABLES'!$D$27:$D$47,'PIVOT TABLES'!$E$27:$E$47,"N/A")</f>
        <v>3</v>
      </c>
      <c r="T14" t="s">
        <v>149</v>
      </c>
    </row>
    <row r="15" spans="1:20" x14ac:dyDescent="0.3">
      <c r="A15" t="s">
        <v>83</v>
      </c>
      <c r="B15" t="s">
        <v>144</v>
      </c>
      <c r="C15">
        <v>8.9669000000000008</v>
      </c>
      <c r="D15">
        <v>7.5803000000000003</v>
      </c>
      <c r="E15" s="7">
        <v>500000</v>
      </c>
      <c r="F15" s="7">
        <v>4680000</v>
      </c>
      <c r="G15" s="7">
        <v>600000</v>
      </c>
      <c r="H15" t="s">
        <v>180</v>
      </c>
      <c r="I15" t="s">
        <v>55</v>
      </c>
      <c r="J15" t="s">
        <v>55</v>
      </c>
      <c r="K15" s="12">
        <f>_xlfn.XLOOKUP('Main Data'!A15,'PIVOT TABLES'!$A$4:$A$24,'PIVOT TABLES'!$B$4:$B$24,"N/A")</f>
        <v>3.1666666666666665</v>
      </c>
      <c r="L15" s="12">
        <f>_xlfn.XLOOKUP(A15,'PIVOT TABLES'!$D$4:$D$24,'PIVOT TABLES'!$E$4:$E$24,"n/a")</f>
        <v>3</v>
      </c>
      <c r="M15" s="9" t="s">
        <v>188</v>
      </c>
      <c r="N15" t="s">
        <v>215</v>
      </c>
      <c r="O15" t="s">
        <v>53</v>
      </c>
      <c r="P15" s="12">
        <f>_xlfn.XLOOKUP(A15,'PIVOT TABLES'!$G$4:$G$24,'PIVOT TABLES'!$H$4:$H$24,"N/A")</f>
        <v>2.6666666666666665</v>
      </c>
      <c r="Q15" t="s">
        <v>216</v>
      </c>
      <c r="R15" s="12">
        <f>_xlfn.XLOOKUP(A15,'PIVOT TABLES'!$A$27:$A$47,'PIVOT TABLES'!$B$27:$B$47,"N/A")</f>
        <v>1.6666666666666667</v>
      </c>
      <c r="S15" s="12">
        <f>_xlfn.XLOOKUP(A15,'PIVOT TABLES'!$D$27:$D$47,'PIVOT TABLES'!$E$27:$E$47,"N/A")</f>
        <v>3.5</v>
      </c>
      <c r="T15" t="s">
        <v>149</v>
      </c>
    </row>
    <row r="16" spans="1:20" x14ac:dyDescent="0.3">
      <c r="A16" t="s">
        <v>93</v>
      </c>
      <c r="B16" t="s">
        <v>167</v>
      </c>
      <c r="C16">
        <v>9.1329999999999991</v>
      </c>
      <c r="D16">
        <v>7.3880999999999997</v>
      </c>
      <c r="E16" s="7">
        <v>850000</v>
      </c>
      <c r="F16" s="7">
        <v>3500000</v>
      </c>
      <c r="G16" s="7">
        <v>2750000</v>
      </c>
      <c r="H16" t="s">
        <v>180</v>
      </c>
      <c r="I16" t="s">
        <v>55</v>
      </c>
      <c r="J16" t="s">
        <v>55</v>
      </c>
      <c r="K16" s="12">
        <f>_xlfn.XLOOKUP('Main Data'!A16,'PIVOT TABLES'!$A$4:$A$24,'PIVOT TABLES'!$B$4:$B$24,"N/A")</f>
        <v>3.75</v>
      </c>
      <c r="L16" s="12">
        <f>_xlfn.XLOOKUP(A16,'PIVOT TABLES'!$D$4:$D$24,'PIVOT TABLES'!$E$4:$E$24,"n/a")</f>
        <v>2.5</v>
      </c>
      <c r="M16" s="9" t="s">
        <v>185</v>
      </c>
      <c r="N16" t="s">
        <v>209</v>
      </c>
      <c r="O16" t="s">
        <v>53</v>
      </c>
      <c r="P16" s="12">
        <f>_xlfn.XLOOKUP(A16,'PIVOT TABLES'!$G$4:$G$24,'PIVOT TABLES'!$H$4:$H$24,"N/A")</f>
        <v>3.25</v>
      </c>
      <c r="Q16" t="s">
        <v>149</v>
      </c>
      <c r="R16" s="12">
        <f>_xlfn.XLOOKUP(A16,'PIVOT TABLES'!$A$27:$A$47,'PIVOT TABLES'!$B$27:$B$47,"N/A")</f>
        <v>2.5</v>
      </c>
      <c r="S16" s="12">
        <f>_xlfn.XLOOKUP(A16,'PIVOT TABLES'!$D$27:$D$47,'PIVOT TABLES'!$E$27:$E$47,"N/A")</f>
        <v>3</v>
      </c>
      <c r="T16" t="s">
        <v>149</v>
      </c>
    </row>
    <row r="17" spans="1:20" x14ac:dyDescent="0.3">
      <c r="A17" t="s">
        <v>50</v>
      </c>
      <c r="B17" t="s">
        <v>144</v>
      </c>
      <c r="C17">
        <v>9.1329999999999991</v>
      </c>
      <c r="D17">
        <v>7.3880999999999997</v>
      </c>
      <c r="E17" s="7">
        <v>400000</v>
      </c>
      <c r="F17" s="7">
        <v>900000</v>
      </c>
      <c r="G17" s="7">
        <v>550000</v>
      </c>
      <c r="H17" t="s">
        <v>180</v>
      </c>
      <c r="I17" t="s">
        <v>55</v>
      </c>
      <c r="J17" t="s">
        <v>55</v>
      </c>
      <c r="K17" s="12">
        <f>_xlfn.XLOOKUP('Main Data'!A17,'PIVOT TABLES'!$A$4:$A$24,'PIVOT TABLES'!$B$4:$B$24,"N/A")</f>
        <v>2.5</v>
      </c>
      <c r="L17" s="12">
        <f>_xlfn.XLOOKUP(A17,'PIVOT TABLES'!$D$4:$D$24,'PIVOT TABLES'!$E$4:$E$24,"n/a")</f>
        <v>1.5</v>
      </c>
      <c r="M17" s="9" t="s">
        <v>187</v>
      </c>
      <c r="N17" t="s">
        <v>207</v>
      </c>
      <c r="O17" t="s">
        <v>116</v>
      </c>
      <c r="P17" s="12">
        <f>_xlfn.XLOOKUP(A17,'PIVOT TABLES'!$G$4:$G$24,'PIVOT TABLES'!$H$4:$H$24,"N/A")</f>
        <v>2</v>
      </c>
      <c r="Q17" t="s">
        <v>213</v>
      </c>
      <c r="R17" s="12">
        <f>_xlfn.XLOOKUP(A17,'PIVOT TABLES'!$A$27:$A$47,'PIVOT TABLES'!$B$27:$B$47,"N/A")</f>
        <v>1.5</v>
      </c>
      <c r="S17" s="12">
        <f>_xlfn.XLOOKUP(A17,'PIVOT TABLES'!$D$27:$D$47,'PIVOT TABLES'!$E$27:$E$47,"N/A")</f>
        <v>5</v>
      </c>
      <c r="T17" t="s">
        <v>116</v>
      </c>
    </row>
    <row r="18" spans="1:20" x14ac:dyDescent="0.3">
      <c r="A18" t="s">
        <v>132</v>
      </c>
      <c r="B18" t="s">
        <v>168</v>
      </c>
      <c r="C18">
        <v>9.0269999999999992</v>
      </c>
      <c r="D18">
        <v>7.5995999999999997</v>
      </c>
      <c r="E18" s="7">
        <v>280000</v>
      </c>
      <c r="F18" s="7">
        <v>1300000</v>
      </c>
      <c r="G18" s="7">
        <v>440000</v>
      </c>
      <c r="H18" t="s">
        <v>180</v>
      </c>
      <c r="I18" t="s">
        <v>55</v>
      </c>
      <c r="J18" t="s">
        <v>55</v>
      </c>
      <c r="K18" s="12">
        <f>_xlfn.XLOOKUP('Main Data'!A18,'PIVOT TABLES'!$A$4:$A$24,'PIVOT TABLES'!$B$4:$B$24,"N/A")</f>
        <v>2</v>
      </c>
      <c r="L18" s="12">
        <f>_xlfn.XLOOKUP(A18,'PIVOT TABLES'!$D$4:$D$24,'PIVOT TABLES'!$E$4:$E$24,"n/a")</f>
        <v>3</v>
      </c>
      <c r="M18" s="9" t="s">
        <v>187</v>
      </c>
      <c r="N18" t="s">
        <v>207</v>
      </c>
      <c r="O18" t="s">
        <v>116</v>
      </c>
      <c r="P18" s="12">
        <f>_xlfn.XLOOKUP(A18,'PIVOT TABLES'!$G$4:$G$24,'PIVOT TABLES'!$H$4:$H$24,"N/A")</f>
        <v>2</v>
      </c>
      <c r="Q18" t="s">
        <v>213</v>
      </c>
      <c r="R18" s="12">
        <f>_xlfn.XLOOKUP(A18,'PIVOT TABLES'!$A$27:$A$47,'PIVOT TABLES'!$B$27:$B$47,"N/A")</f>
        <v>1</v>
      </c>
      <c r="S18" s="12">
        <f>_xlfn.XLOOKUP(A18,'PIVOT TABLES'!$D$27:$D$47,'PIVOT TABLES'!$E$27:$E$47,"N/A")</f>
        <v>1</v>
      </c>
      <c r="T18" t="s">
        <v>149</v>
      </c>
    </row>
    <row r="19" spans="1:20" x14ac:dyDescent="0.3">
      <c r="A19" t="s">
        <v>165</v>
      </c>
      <c r="B19" t="s">
        <v>144</v>
      </c>
      <c r="C19">
        <v>9.0502000000000002</v>
      </c>
      <c r="D19">
        <v>7.444</v>
      </c>
      <c r="E19" s="7">
        <v>1300000</v>
      </c>
      <c r="F19" s="7">
        <v>15000000</v>
      </c>
      <c r="G19" s="7">
        <v>4500000</v>
      </c>
      <c r="H19" t="s">
        <v>55</v>
      </c>
      <c r="I19" t="s">
        <v>181</v>
      </c>
      <c r="J19" t="s">
        <v>181</v>
      </c>
      <c r="K19" s="12">
        <f>_xlfn.XLOOKUP('Main Data'!A19,'PIVOT TABLES'!$A$4:$A$24,'PIVOT TABLES'!$B$4:$B$24,"N/A")</f>
        <v>4</v>
      </c>
      <c r="L19" s="12">
        <f>_xlfn.XLOOKUP(A19,'PIVOT TABLES'!$D$4:$D$24,'PIVOT TABLES'!$E$4:$E$24,"n/a")</f>
        <v>4.5</v>
      </c>
      <c r="M19" s="9" t="s">
        <v>182</v>
      </c>
      <c r="N19" t="s">
        <v>212</v>
      </c>
      <c r="O19" t="s">
        <v>62</v>
      </c>
      <c r="P19" s="12">
        <f>_xlfn.XLOOKUP(A19,'PIVOT TABLES'!$G$4:$G$24,'PIVOT TABLES'!$H$4:$H$24,"N/A")</f>
        <v>4.5</v>
      </c>
      <c r="Q19" t="s">
        <v>149</v>
      </c>
      <c r="R19" s="12">
        <f>_xlfn.XLOOKUP(A19,'PIVOT TABLES'!$A$27:$A$47,'PIVOT TABLES'!$B$27:$B$47,"N/A")</f>
        <v>2</v>
      </c>
      <c r="S19" s="12">
        <f>_xlfn.XLOOKUP(A19,'PIVOT TABLES'!$D$27:$D$47,'PIVOT TABLES'!$E$27:$E$47,"N/A")</f>
        <v>4</v>
      </c>
      <c r="T19" t="s">
        <v>53</v>
      </c>
    </row>
    <row r="20" spans="1:20" x14ac:dyDescent="0.3">
      <c r="A20" t="s">
        <v>40</v>
      </c>
      <c r="B20" t="s">
        <v>144</v>
      </c>
      <c r="C20">
        <v>9.0479000000000003</v>
      </c>
      <c r="D20">
        <v>7.5155000000000003</v>
      </c>
      <c r="E20" s="7">
        <v>1200000</v>
      </c>
      <c r="F20" s="7">
        <v>10000000</v>
      </c>
      <c r="G20" s="7">
        <v>5250000</v>
      </c>
      <c r="H20" t="s">
        <v>55</v>
      </c>
      <c r="I20" t="s">
        <v>181</v>
      </c>
      <c r="J20" t="s">
        <v>181</v>
      </c>
      <c r="K20" s="12">
        <f>_xlfn.XLOOKUP('Main Data'!A20,'PIVOT TABLES'!$A$4:$A$24,'PIVOT TABLES'!$B$4:$B$24,"N/A")</f>
        <v>4.5999999999999996</v>
      </c>
      <c r="L20" s="12">
        <f>_xlfn.XLOOKUP(A20,'PIVOT TABLES'!$D$4:$D$24,'PIVOT TABLES'!$E$4:$E$24,"n/a")</f>
        <v>5</v>
      </c>
      <c r="M20" s="9" t="s">
        <v>184</v>
      </c>
      <c r="N20" t="s">
        <v>218</v>
      </c>
      <c r="O20" t="s">
        <v>62</v>
      </c>
      <c r="P20" s="12">
        <f>_xlfn.XLOOKUP(A20,'PIVOT TABLES'!$G$4:$G$24,'PIVOT TABLES'!$H$4:$H$24,"N/A")</f>
        <v>4.4000000000000004</v>
      </c>
      <c r="Q20" t="s">
        <v>211</v>
      </c>
      <c r="R20" s="12">
        <f>_xlfn.XLOOKUP(A20,'PIVOT TABLES'!$A$27:$A$47,'PIVOT TABLES'!$B$27:$B$47,"N/A")</f>
        <v>3</v>
      </c>
      <c r="S20" s="12">
        <f>_xlfn.XLOOKUP(A20,'PIVOT TABLES'!$D$27:$D$47,'PIVOT TABLES'!$E$27:$E$47,"N/A")</f>
        <v>3.2</v>
      </c>
      <c r="T20" t="s">
        <v>149</v>
      </c>
    </row>
    <row r="21" spans="1:20" x14ac:dyDescent="0.3">
      <c r="A21" t="s">
        <v>58</v>
      </c>
      <c r="B21" t="s">
        <v>144</v>
      </c>
      <c r="C21">
        <v>9.0724</v>
      </c>
      <c r="D21">
        <v>7.3978999999999999</v>
      </c>
      <c r="E21" s="7">
        <v>300000</v>
      </c>
      <c r="F21" s="7">
        <v>12000000</v>
      </c>
      <c r="G21" s="7">
        <v>2850000</v>
      </c>
      <c r="H21" t="s">
        <v>55</v>
      </c>
      <c r="I21" t="s">
        <v>181</v>
      </c>
      <c r="J21" t="s">
        <v>181</v>
      </c>
      <c r="K21" s="12">
        <f>_xlfn.XLOOKUP('Main Data'!A21,'PIVOT TABLES'!$A$4:$A$24,'PIVOT TABLES'!$B$4:$B$24,"N/A")</f>
        <v>3.8333333333333335</v>
      </c>
      <c r="L21" s="12">
        <f>_xlfn.XLOOKUP(A21,'PIVOT TABLES'!$D$4:$D$24,'PIVOT TABLES'!$E$4:$E$24,"n/a")</f>
        <v>3.8</v>
      </c>
      <c r="M21" s="9" t="s">
        <v>182</v>
      </c>
      <c r="N21" t="s">
        <v>212</v>
      </c>
      <c r="O21" t="s">
        <v>53</v>
      </c>
      <c r="P21" s="12">
        <f>_xlfn.XLOOKUP(A21,'PIVOT TABLES'!$G$4:$G$24,'PIVOT TABLES'!$H$4:$H$24,"N/A")</f>
        <v>3.3333333333333335</v>
      </c>
      <c r="Q21" t="s">
        <v>149</v>
      </c>
      <c r="R21" s="12">
        <f>_xlfn.XLOOKUP(A21,'PIVOT TABLES'!$A$27:$A$47,'PIVOT TABLES'!$B$27:$B$47,"N/A")</f>
        <v>2</v>
      </c>
      <c r="S21" s="12">
        <f>_xlfn.XLOOKUP(A21,'PIVOT TABLES'!$D$27:$D$47,'PIVOT TABLES'!$E$27:$E$47,"N/A")</f>
        <v>3.3333333333333335</v>
      </c>
      <c r="T21" t="s">
        <v>149</v>
      </c>
    </row>
    <row r="22" spans="1:20" x14ac:dyDescent="0.3">
      <c r="A22" t="s">
        <v>164</v>
      </c>
      <c r="B22" t="s">
        <v>144</v>
      </c>
      <c r="C22">
        <v>8.9786000000000001</v>
      </c>
      <c r="D22">
        <v>7.4581999999999997</v>
      </c>
      <c r="E22" s="7">
        <v>140000</v>
      </c>
      <c r="F22" s="7">
        <v>6000000</v>
      </c>
      <c r="G22" s="7">
        <v>1300000</v>
      </c>
      <c r="H22" t="s">
        <v>55</v>
      </c>
      <c r="I22" t="s">
        <v>55</v>
      </c>
      <c r="J22" t="s">
        <v>181</v>
      </c>
      <c r="K22" s="12">
        <f>_xlfn.XLOOKUP('Main Data'!A22,'PIVOT TABLES'!$A$4:$A$24,'PIVOT TABLES'!$B$4:$B$24,"N/A")</f>
        <v>4</v>
      </c>
      <c r="L22" s="12">
        <f>_xlfn.XLOOKUP(A22,'PIVOT TABLES'!$D$4:$D$24,'PIVOT TABLES'!$E$4:$E$24,"n/a")</f>
        <v>3.5</v>
      </c>
      <c r="M22" s="9" t="s">
        <v>188</v>
      </c>
      <c r="N22" t="s">
        <v>212</v>
      </c>
      <c r="O22" t="s">
        <v>53</v>
      </c>
      <c r="P22" s="12">
        <f>_xlfn.XLOOKUP(A22,'PIVOT TABLES'!$G$4:$G$24,'PIVOT TABLES'!$H$4:$H$24,"N/A")</f>
        <v>2.5</v>
      </c>
      <c r="Q22" t="s">
        <v>149</v>
      </c>
      <c r="R22" s="12">
        <f>_xlfn.XLOOKUP(A22,'PIVOT TABLES'!$A$27:$A$47,'PIVOT TABLES'!$B$27:$B$47,"N/A")</f>
        <v>3</v>
      </c>
      <c r="S22" s="12">
        <f>_xlfn.XLOOKUP(A22,'PIVOT TABLES'!$D$27:$D$47,'PIVOT TABLES'!$E$27:$E$47,"N/A")</f>
        <v>4</v>
      </c>
      <c r="T22" t="s">
        <v>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B1DBF-FE09-4BF6-9EA2-F12A22336F89}">
  <dimension ref="A1:J57"/>
  <sheetViews>
    <sheetView workbookViewId="0">
      <pane ySplit="1" topLeftCell="A33" activePane="bottomLeft" state="frozen"/>
      <selection pane="bottomLeft" sqref="A1:J57"/>
    </sheetView>
  </sheetViews>
  <sheetFormatPr defaultRowHeight="14.4" x14ac:dyDescent="0.3"/>
  <cols>
    <col min="1" max="1" width="11.33203125" bestFit="1" customWidth="1"/>
    <col min="3" max="3" width="16.88671875" customWidth="1"/>
    <col min="5" max="5" width="25.44140625" bestFit="1" customWidth="1"/>
    <col min="7" max="7" width="16" bestFit="1" customWidth="1"/>
    <col min="9" max="9" width="17.6640625" customWidth="1"/>
    <col min="10" max="10" width="21.77734375" bestFit="1" customWidth="1"/>
  </cols>
  <sheetData>
    <row r="1" spans="1:10" s="2" customFormat="1" ht="97.2" customHeight="1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</row>
    <row r="2" spans="1:10" x14ac:dyDescent="0.3">
      <c r="A2" t="s">
        <v>40</v>
      </c>
      <c r="B2">
        <v>5</v>
      </c>
      <c r="C2">
        <v>5</v>
      </c>
      <c r="D2" t="s">
        <v>62</v>
      </c>
      <c r="E2" t="s">
        <v>110</v>
      </c>
      <c r="F2">
        <v>5</v>
      </c>
      <c r="G2" t="s">
        <v>65</v>
      </c>
      <c r="H2">
        <v>5</v>
      </c>
      <c r="I2">
        <v>5</v>
      </c>
      <c r="J2" t="s">
        <v>55</v>
      </c>
    </row>
    <row r="3" spans="1:10" x14ac:dyDescent="0.3">
      <c r="A3" t="s">
        <v>40</v>
      </c>
      <c r="B3">
        <v>4</v>
      </c>
      <c r="C3">
        <v>5</v>
      </c>
      <c r="D3" t="s">
        <v>62</v>
      </c>
      <c r="E3" t="s">
        <v>54</v>
      </c>
      <c r="F3">
        <v>3</v>
      </c>
      <c r="G3" t="s">
        <v>55</v>
      </c>
      <c r="H3">
        <v>4</v>
      </c>
      <c r="I3">
        <v>3</v>
      </c>
      <c r="J3" t="s">
        <v>67</v>
      </c>
    </row>
    <row r="4" spans="1:10" x14ac:dyDescent="0.3">
      <c r="A4" t="s">
        <v>40</v>
      </c>
      <c r="B4">
        <v>5</v>
      </c>
      <c r="C4">
        <v>5</v>
      </c>
      <c r="D4" t="s">
        <v>53</v>
      </c>
      <c r="E4" t="s">
        <v>54</v>
      </c>
      <c r="F4">
        <v>5</v>
      </c>
      <c r="G4" t="s">
        <v>65</v>
      </c>
      <c r="H4">
        <v>2</v>
      </c>
      <c r="I4">
        <v>2</v>
      </c>
      <c r="J4" t="s">
        <v>55</v>
      </c>
    </row>
    <row r="5" spans="1:10" x14ac:dyDescent="0.3">
      <c r="A5" t="s">
        <v>40</v>
      </c>
      <c r="B5">
        <v>5</v>
      </c>
      <c r="C5">
        <v>5</v>
      </c>
      <c r="D5" t="s">
        <v>53</v>
      </c>
      <c r="E5" t="s">
        <v>54</v>
      </c>
      <c r="F5">
        <v>5</v>
      </c>
      <c r="G5" t="s">
        <v>65</v>
      </c>
      <c r="H5">
        <v>2</v>
      </c>
      <c r="I5">
        <v>2</v>
      </c>
      <c r="J5" t="s">
        <v>55</v>
      </c>
    </row>
    <row r="6" spans="1:10" x14ac:dyDescent="0.3">
      <c r="A6" t="s">
        <v>40</v>
      </c>
      <c r="B6">
        <v>4</v>
      </c>
      <c r="C6">
        <v>5</v>
      </c>
      <c r="D6" t="s">
        <v>62</v>
      </c>
      <c r="E6" t="s">
        <v>141</v>
      </c>
      <c r="F6">
        <v>4</v>
      </c>
      <c r="G6" t="s">
        <v>55</v>
      </c>
      <c r="H6">
        <v>2</v>
      </c>
      <c r="I6">
        <v>4</v>
      </c>
      <c r="J6" t="s">
        <v>55</v>
      </c>
    </row>
    <row r="7" spans="1:10" x14ac:dyDescent="0.3">
      <c r="A7" t="s">
        <v>93</v>
      </c>
      <c r="B7">
        <v>3</v>
      </c>
      <c r="C7">
        <v>2</v>
      </c>
      <c r="D7" t="s">
        <v>62</v>
      </c>
      <c r="E7" t="s">
        <v>113</v>
      </c>
      <c r="F7">
        <v>4</v>
      </c>
      <c r="G7" t="s">
        <v>55</v>
      </c>
      <c r="H7">
        <v>3</v>
      </c>
      <c r="I7">
        <v>4</v>
      </c>
      <c r="J7" t="s">
        <v>55</v>
      </c>
    </row>
    <row r="8" spans="1:10" x14ac:dyDescent="0.3">
      <c r="A8" t="s">
        <v>93</v>
      </c>
      <c r="B8">
        <v>4</v>
      </c>
      <c r="C8">
        <v>3</v>
      </c>
      <c r="D8" t="s">
        <v>53</v>
      </c>
      <c r="E8" t="s">
        <v>101</v>
      </c>
      <c r="F8">
        <v>3</v>
      </c>
      <c r="G8" t="s">
        <v>55</v>
      </c>
      <c r="H8">
        <v>2</v>
      </c>
      <c r="I8">
        <v>3</v>
      </c>
      <c r="J8" t="s">
        <v>55</v>
      </c>
    </row>
    <row r="9" spans="1:10" x14ac:dyDescent="0.3">
      <c r="A9" t="s">
        <v>93</v>
      </c>
      <c r="B9">
        <v>4</v>
      </c>
      <c r="C9">
        <v>3</v>
      </c>
      <c r="D9" t="s">
        <v>53</v>
      </c>
      <c r="E9" t="s">
        <v>109</v>
      </c>
      <c r="F9">
        <v>3</v>
      </c>
      <c r="G9" t="s">
        <v>55</v>
      </c>
      <c r="H9">
        <v>3</v>
      </c>
      <c r="I9">
        <v>3</v>
      </c>
      <c r="J9" t="s">
        <v>55</v>
      </c>
    </row>
    <row r="10" spans="1:10" x14ac:dyDescent="0.3">
      <c r="A10" t="s">
        <v>93</v>
      </c>
      <c r="B10">
        <v>4</v>
      </c>
      <c r="C10">
        <v>2</v>
      </c>
      <c r="D10" t="s">
        <v>53</v>
      </c>
      <c r="E10" t="s">
        <v>174</v>
      </c>
      <c r="F10">
        <v>3</v>
      </c>
      <c r="G10" t="s">
        <v>55</v>
      </c>
      <c r="H10">
        <v>2</v>
      </c>
      <c r="I10">
        <v>2</v>
      </c>
      <c r="J10" t="s">
        <v>67</v>
      </c>
    </row>
    <row r="11" spans="1:10" x14ac:dyDescent="0.3">
      <c r="A11" t="s">
        <v>78</v>
      </c>
      <c r="B11">
        <v>3</v>
      </c>
      <c r="C11">
        <v>1</v>
      </c>
      <c r="D11" t="s">
        <v>53</v>
      </c>
      <c r="E11" t="s">
        <v>109</v>
      </c>
      <c r="F11">
        <v>3</v>
      </c>
      <c r="G11" t="s">
        <v>79</v>
      </c>
      <c r="H11">
        <v>2</v>
      </c>
      <c r="I11">
        <v>4</v>
      </c>
      <c r="J11" t="s">
        <v>55</v>
      </c>
    </row>
    <row r="12" spans="1:10" x14ac:dyDescent="0.3">
      <c r="A12" t="s">
        <v>134</v>
      </c>
      <c r="B12">
        <v>4</v>
      </c>
      <c r="C12">
        <v>4</v>
      </c>
      <c r="D12" t="s">
        <v>62</v>
      </c>
      <c r="E12" t="s">
        <v>54</v>
      </c>
      <c r="F12">
        <v>5</v>
      </c>
      <c r="G12" t="s">
        <v>55</v>
      </c>
      <c r="H12">
        <v>4</v>
      </c>
      <c r="I12">
        <v>5</v>
      </c>
      <c r="J12" t="s">
        <v>55</v>
      </c>
    </row>
    <row r="13" spans="1:10" x14ac:dyDescent="0.3">
      <c r="A13" t="s">
        <v>115</v>
      </c>
      <c r="B13">
        <v>4</v>
      </c>
      <c r="C13">
        <v>4</v>
      </c>
      <c r="D13" t="s">
        <v>116</v>
      </c>
      <c r="E13" t="s">
        <v>141</v>
      </c>
      <c r="F13">
        <v>3</v>
      </c>
      <c r="G13" t="s">
        <v>55</v>
      </c>
      <c r="H13">
        <v>4</v>
      </c>
      <c r="I13">
        <v>4</v>
      </c>
      <c r="J13" t="s">
        <v>55</v>
      </c>
    </row>
    <row r="14" spans="1:10" x14ac:dyDescent="0.3">
      <c r="A14" t="s">
        <v>44</v>
      </c>
      <c r="B14">
        <v>5</v>
      </c>
      <c r="C14">
        <v>5</v>
      </c>
      <c r="D14" t="s">
        <v>62</v>
      </c>
      <c r="E14" t="s">
        <v>111</v>
      </c>
      <c r="F14">
        <v>4</v>
      </c>
      <c r="G14" t="s">
        <v>55</v>
      </c>
      <c r="H14">
        <v>4</v>
      </c>
      <c r="I14">
        <v>5</v>
      </c>
      <c r="J14" t="s">
        <v>67</v>
      </c>
    </row>
    <row r="15" spans="1:10" x14ac:dyDescent="0.3">
      <c r="A15" t="s">
        <v>44</v>
      </c>
      <c r="B15">
        <v>4</v>
      </c>
      <c r="C15">
        <v>3</v>
      </c>
      <c r="D15" t="s">
        <v>53</v>
      </c>
      <c r="E15" t="s">
        <v>118</v>
      </c>
      <c r="F15">
        <v>3</v>
      </c>
      <c r="G15" t="s">
        <v>55</v>
      </c>
      <c r="H15">
        <v>4</v>
      </c>
      <c r="I15">
        <v>3</v>
      </c>
      <c r="J15" t="s">
        <v>67</v>
      </c>
    </row>
    <row r="16" spans="1:10" x14ac:dyDescent="0.3">
      <c r="A16" t="s">
        <v>44</v>
      </c>
      <c r="B16">
        <v>4</v>
      </c>
      <c r="C16">
        <v>2</v>
      </c>
      <c r="D16" t="s">
        <v>53</v>
      </c>
      <c r="E16" t="s">
        <v>141</v>
      </c>
      <c r="F16">
        <v>3</v>
      </c>
      <c r="G16" t="s">
        <v>55</v>
      </c>
      <c r="H16">
        <v>3</v>
      </c>
      <c r="I16">
        <v>4</v>
      </c>
      <c r="J16" t="s">
        <v>55</v>
      </c>
    </row>
    <row r="17" spans="1:10" x14ac:dyDescent="0.3">
      <c r="A17" t="s">
        <v>192</v>
      </c>
      <c r="B17">
        <v>5</v>
      </c>
      <c r="C17">
        <v>5</v>
      </c>
      <c r="D17" t="s">
        <v>194</v>
      </c>
      <c r="E17" t="s">
        <v>141</v>
      </c>
      <c r="F17">
        <v>2</v>
      </c>
      <c r="G17" t="s">
        <v>195</v>
      </c>
      <c r="H17">
        <v>4</v>
      </c>
      <c r="I17">
        <v>3</v>
      </c>
      <c r="J17" t="s">
        <v>196</v>
      </c>
    </row>
    <row r="18" spans="1:10" x14ac:dyDescent="0.3">
      <c r="A18" t="s">
        <v>192</v>
      </c>
      <c r="B18">
        <v>5</v>
      </c>
      <c r="C18">
        <v>5</v>
      </c>
      <c r="D18" t="s">
        <v>62</v>
      </c>
      <c r="E18" t="s">
        <v>141</v>
      </c>
      <c r="F18">
        <v>2</v>
      </c>
      <c r="G18" t="s">
        <v>195</v>
      </c>
      <c r="H18">
        <v>5</v>
      </c>
      <c r="I18">
        <v>3</v>
      </c>
      <c r="J18" t="s">
        <v>67</v>
      </c>
    </row>
    <row r="19" spans="1:10" x14ac:dyDescent="0.3">
      <c r="A19" t="s">
        <v>83</v>
      </c>
      <c r="B19">
        <v>4</v>
      </c>
      <c r="C19">
        <v>4</v>
      </c>
      <c r="D19" t="s">
        <v>53</v>
      </c>
      <c r="E19" t="s">
        <v>111</v>
      </c>
      <c r="F19">
        <v>2</v>
      </c>
      <c r="G19" t="s">
        <v>79</v>
      </c>
      <c r="H19">
        <v>2</v>
      </c>
      <c r="I19">
        <v>4</v>
      </c>
      <c r="J19" t="s">
        <v>55</v>
      </c>
    </row>
    <row r="20" spans="1:10" x14ac:dyDescent="0.3">
      <c r="A20" t="s">
        <v>83</v>
      </c>
      <c r="B20">
        <v>4</v>
      </c>
      <c r="C20">
        <v>3</v>
      </c>
      <c r="D20" t="s">
        <v>53</v>
      </c>
      <c r="E20" t="s">
        <v>114</v>
      </c>
      <c r="F20">
        <v>4</v>
      </c>
      <c r="G20" t="s">
        <v>55</v>
      </c>
      <c r="H20">
        <v>1</v>
      </c>
      <c r="I20">
        <v>3</v>
      </c>
      <c r="J20" t="s">
        <v>55</v>
      </c>
    </row>
    <row r="21" spans="1:10" x14ac:dyDescent="0.3">
      <c r="A21" t="s">
        <v>83</v>
      </c>
      <c r="B21">
        <v>3</v>
      </c>
      <c r="C21">
        <v>3</v>
      </c>
      <c r="D21" t="s">
        <v>53</v>
      </c>
      <c r="E21" t="s">
        <v>112</v>
      </c>
      <c r="F21">
        <v>2</v>
      </c>
      <c r="G21" t="s">
        <v>79</v>
      </c>
      <c r="H21">
        <v>1</v>
      </c>
      <c r="I21">
        <v>2</v>
      </c>
      <c r="J21" t="s">
        <v>67</v>
      </c>
    </row>
    <row r="22" spans="1:10" x14ac:dyDescent="0.3">
      <c r="A22" t="s">
        <v>83</v>
      </c>
      <c r="B22">
        <v>2</v>
      </c>
      <c r="C22">
        <v>2</v>
      </c>
      <c r="D22" t="s">
        <v>116</v>
      </c>
      <c r="E22" t="s">
        <v>142</v>
      </c>
      <c r="F22">
        <v>3</v>
      </c>
      <c r="G22" t="s">
        <v>55</v>
      </c>
      <c r="H22">
        <v>2</v>
      </c>
      <c r="I22">
        <v>4</v>
      </c>
      <c r="J22" t="s">
        <v>55</v>
      </c>
    </row>
    <row r="23" spans="1:10" x14ac:dyDescent="0.3">
      <c r="A23" t="s">
        <v>83</v>
      </c>
      <c r="B23">
        <v>3</v>
      </c>
      <c r="C23">
        <v>2</v>
      </c>
      <c r="D23" t="s">
        <v>62</v>
      </c>
      <c r="E23" t="s">
        <v>143</v>
      </c>
      <c r="F23">
        <v>1</v>
      </c>
      <c r="G23" t="s">
        <v>79</v>
      </c>
      <c r="H23">
        <v>1</v>
      </c>
      <c r="I23">
        <v>4</v>
      </c>
      <c r="J23" t="s">
        <v>55</v>
      </c>
    </row>
    <row r="24" spans="1:10" x14ac:dyDescent="0.3">
      <c r="A24" t="s">
        <v>83</v>
      </c>
      <c r="B24">
        <v>3</v>
      </c>
      <c r="C24">
        <v>4</v>
      </c>
      <c r="D24" t="s">
        <v>53</v>
      </c>
      <c r="E24" t="s">
        <v>142</v>
      </c>
      <c r="F24">
        <v>4</v>
      </c>
      <c r="G24" t="s">
        <v>55</v>
      </c>
      <c r="H24">
        <v>3</v>
      </c>
      <c r="I24">
        <v>4</v>
      </c>
      <c r="J24" t="s">
        <v>67</v>
      </c>
    </row>
    <row r="25" spans="1:10" x14ac:dyDescent="0.3">
      <c r="A25" t="s">
        <v>177</v>
      </c>
      <c r="B25">
        <v>5</v>
      </c>
      <c r="C25">
        <v>5</v>
      </c>
      <c r="D25" t="s">
        <v>62</v>
      </c>
      <c r="E25" t="s">
        <v>141</v>
      </c>
      <c r="F25">
        <v>4</v>
      </c>
      <c r="G25" t="s">
        <v>65</v>
      </c>
      <c r="H25">
        <v>3</v>
      </c>
      <c r="I25">
        <v>4</v>
      </c>
      <c r="J25" t="s">
        <v>67</v>
      </c>
    </row>
    <row r="26" spans="1:10" x14ac:dyDescent="0.3">
      <c r="A26" t="s">
        <v>177</v>
      </c>
      <c r="B26">
        <v>4</v>
      </c>
      <c r="C26">
        <v>5</v>
      </c>
      <c r="D26" t="s">
        <v>62</v>
      </c>
      <c r="E26" t="s">
        <v>141</v>
      </c>
      <c r="F26">
        <v>3</v>
      </c>
      <c r="G26" t="s">
        <v>65</v>
      </c>
      <c r="H26">
        <v>3</v>
      </c>
      <c r="I26">
        <v>4</v>
      </c>
      <c r="J26" t="s">
        <v>67</v>
      </c>
    </row>
    <row r="27" spans="1:10" x14ac:dyDescent="0.3">
      <c r="A27" t="s">
        <v>76</v>
      </c>
      <c r="B27">
        <v>4</v>
      </c>
      <c r="C27">
        <v>3</v>
      </c>
      <c r="D27" t="s">
        <v>53</v>
      </c>
      <c r="E27" t="s">
        <v>111</v>
      </c>
      <c r="F27">
        <v>3</v>
      </c>
      <c r="G27" t="s">
        <v>55</v>
      </c>
      <c r="H27">
        <v>3</v>
      </c>
      <c r="I27">
        <v>3</v>
      </c>
      <c r="J27" t="s">
        <v>55</v>
      </c>
    </row>
    <row r="28" spans="1:10" x14ac:dyDescent="0.3">
      <c r="A28" t="s">
        <v>76</v>
      </c>
      <c r="B28">
        <v>3</v>
      </c>
      <c r="C28">
        <v>1</v>
      </c>
      <c r="D28" t="s">
        <v>53</v>
      </c>
      <c r="E28" t="s">
        <v>111</v>
      </c>
      <c r="F28">
        <v>2</v>
      </c>
      <c r="G28" t="s">
        <v>55</v>
      </c>
      <c r="H28">
        <v>1</v>
      </c>
      <c r="I28">
        <v>3</v>
      </c>
      <c r="J28" t="s">
        <v>67</v>
      </c>
    </row>
    <row r="29" spans="1:10" x14ac:dyDescent="0.3">
      <c r="A29" t="s">
        <v>76</v>
      </c>
      <c r="B29">
        <v>5</v>
      </c>
      <c r="C29">
        <v>4</v>
      </c>
      <c r="D29" t="s">
        <v>53</v>
      </c>
      <c r="E29" t="s">
        <v>109</v>
      </c>
      <c r="F29">
        <v>4</v>
      </c>
      <c r="G29" t="s">
        <v>55</v>
      </c>
      <c r="H29">
        <v>2</v>
      </c>
      <c r="I29">
        <v>5</v>
      </c>
      <c r="J29" t="s">
        <v>55</v>
      </c>
    </row>
    <row r="30" spans="1:10" x14ac:dyDescent="0.3">
      <c r="A30" t="s">
        <v>76</v>
      </c>
      <c r="B30">
        <v>5</v>
      </c>
      <c r="C30">
        <v>4</v>
      </c>
      <c r="D30" t="s">
        <v>53</v>
      </c>
      <c r="E30" t="s">
        <v>109</v>
      </c>
      <c r="F30">
        <v>5</v>
      </c>
      <c r="G30" t="s">
        <v>55</v>
      </c>
      <c r="H30">
        <v>1</v>
      </c>
      <c r="I30">
        <v>4</v>
      </c>
      <c r="J30" t="s">
        <v>67</v>
      </c>
    </row>
    <row r="31" spans="1:10" x14ac:dyDescent="0.3">
      <c r="A31" t="s">
        <v>76</v>
      </c>
      <c r="B31">
        <v>3</v>
      </c>
      <c r="C31">
        <v>4</v>
      </c>
      <c r="D31" t="s">
        <v>53</v>
      </c>
      <c r="E31" t="s">
        <v>118</v>
      </c>
      <c r="F31">
        <v>4</v>
      </c>
      <c r="G31" t="s">
        <v>55</v>
      </c>
      <c r="H31">
        <v>3</v>
      </c>
      <c r="I31">
        <v>5</v>
      </c>
      <c r="J31" t="s">
        <v>55</v>
      </c>
    </row>
    <row r="32" spans="1:10" x14ac:dyDescent="0.3">
      <c r="A32" t="s">
        <v>76</v>
      </c>
      <c r="B32">
        <v>3</v>
      </c>
      <c r="C32">
        <v>2</v>
      </c>
      <c r="D32" t="s">
        <v>62</v>
      </c>
      <c r="E32" t="s">
        <v>74</v>
      </c>
      <c r="F32">
        <v>3</v>
      </c>
      <c r="G32" t="s">
        <v>79</v>
      </c>
      <c r="H32">
        <v>1</v>
      </c>
      <c r="I32">
        <v>3</v>
      </c>
      <c r="J32" t="s">
        <v>67</v>
      </c>
    </row>
    <row r="33" spans="1:10" x14ac:dyDescent="0.3">
      <c r="A33" t="s">
        <v>58</v>
      </c>
      <c r="B33">
        <v>4</v>
      </c>
      <c r="C33">
        <v>3</v>
      </c>
      <c r="D33" t="s">
        <v>53</v>
      </c>
      <c r="E33" t="s">
        <v>109</v>
      </c>
      <c r="F33">
        <v>4</v>
      </c>
      <c r="G33" t="s">
        <v>55</v>
      </c>
      <c r="H33">
        <v>3</v>
      </c>
      <c r="I33">
        <v>3</v>
      </c>
      <c r="J33" t="s">
        <v>55</v>
      </c>
    </row>
    <row r="34" spans="1:10" x14ac:dyDescent="0.3">
      <c r="A34" t="s">
        <v>58</v>
      </c>
      <c r="B34">
        <v>3</v>
      </c>
      <c r="C34">
        <v>4</v>
      </c>
      <c r="D34" t="s">
        <v>62</v>
      </c>
      <c r="E34" t="s">
        <v>109</v>
      </c>
      <c r="F34">
        <v>3</v>
      </c>
      <c r="G34" t="s">
        <v>55</v>
      </c>
      <c r="H34">
        <v>1</v>
      </c>
      <c r="I34">
        <v>4</v>
      </c>
      <c r="J34" t="s">
        <v>55</v>
      </c>
    </row>
    <row r="35" spans="1:10" x14ac:dyDescent="0.3">
      <c r="A35" t="s">
        <v>58</v>
      </c>
      <c r="B35">
        <v>3</v>
      </c>
      <c r="C35">
        <v>3</v>
      </c>
      <c r="D35" t="s">
        <v>53</v>
      </c>
      <c r="E35" t="s">
        <v>112</v>
      </c>
      <c r="F35">
        <v>5</v>
      </c>
      <c r="G35" t="s">
        <v>65</v>
      </c>
      <c r="H35">
        <v>1</v>
      </c>
      <c r="I35">
        <v>3</v>
      </c>
      <c r="J35" t="s">
        <v>67</v>
      </c>
    </row>
    <row r="36" spans="1:10" x14ac:dyDescent="0.3">
      <c r="A36" t="s">
        <v>58</v>
      </c>
      <c r="B36">
        <v>4</v>
      </c>
      <c r="D36" t="s">
        <v>53</v>
      </c>
      <c r="E36" t="s">
        <v>109</v>
      </c>
      <c r="F36">
        <v>4</v>
      </c>
      <c r="G36" t="s">
        <v>55</v>
      </c>
      <c r="H36">
        <v>2</v>
      </c>
      <c r="I36">
        <v>4</v>
      </c>
      <c r="J36" t="s">
        <v>55</v>
      </c>
    </row>
    <row r="37" spans="1:10" x14ac:dyDescent="0.3">
      <c r="A37" t="s">
        <v>58</v>
      </c>
      <c r="B37">
        <v>4</v>
      </c>
      <c r="C37">
        <v>4</v>
      </c>
      <c r="D37" t="s">
        <v>53</v>
      </c>
      <c r="E37" t="s">
        <v>54</v>
      </c>
      <c r="F37">
        <v>3</v>
      </c>
      <c r="G37" t="s">
        <v>55</v>
      </c>
      <c r="H37">
        <v>2</v>
      </c>
      <c r="I37">
        <v>4</v>
      </c>
      <c r="J37" t="s">
        <v>55</v>
      </c>
    </row>
    <row r="38" spans="1:10" x14ac:dyDescent="0.3">
      <c r="A38" t="s">
        <v>58</v>
      </c>
      <c r="B38">
        <v>5</v>
      </c>
      <c r="C38">
        <v>5</v>
      </c>
      <c r="D38" t="s">
        <v>53</v>
      </c>
      <c r="E38" t="s">
        <v>54</v>
      </c>
      <c r="F38">
        <v>1</v>
      </c>
      <c r="G38" t="s">
        <v>55</v>
      </c>
      <c r="H38">
        <v>3</v>
      </c>
      <c r="I38">
        <v>2</v>
      </c>
      <c r="J38" t="s">
        <v>55</v>
      </c>
    </row>
    <row r="39" spans="1:10" x14ac:dyDescent="0.3">
      <c r="A39" t="s">
        <v>164</v>
      </c>
      <c r="B39">
        <v>4</v>
      </c>
      <c r="C39">
        <v>3</v>
      </c>
      <c r="D39" t="s">
        <v>53</v>
      </c>
      <c r="E39" t="s">
        <v>174</v>
      </c>
      <c r="F39">
        <v>3</v>
      </c>
      <c r="G39" t="s">
        <v>55</v>
      </c>
      <c r="H39">
        <v>2</v>
      </c>
      <c r="I39">
        <v>4</v>
      </c>
      <c r="J39" t="s">
        <v>53</v>
      </c>
    </row>
    <row r="40" spans="1:10" x14ac:dyDescent="0.3">
      <c r="A40" t="s">
        <v>164</v>
      </c>
      <c r="B40">
        <v>4</v>
      </c>
      <c r="C40">
        <v>4</v>
      </c>
      <c r="D40" t="s">
        <v>53</v>
      </c>
      <c r="E40" t="s">
        <v>174</v>
      </c>
      <c r="F40">
        <v>2</v>
      </c>
      <c r="G40" t="s">
        <v>55</v>
      </c>
      <c r="H40">
        <v>4</v>
      </c>
      <c r="I40">
        <v>4</v>
      </c>
      <c r="J40" t="s">
        <v>53</v>
      </c>
    </row>
    <row r="41" spans="1:10" x14ac:dyDescent="0.3">
      <c r="A41" t="s">
        <v>48</v>
      </c>
      <c r="B41">
        <v>4</v>
      </c>
      <c r="C41">
        <v>2</v>
      </c>
      <c r="D41" t="s">
        <v>53</v>
      </c>
      <c r="E41" t="s">
        <v>111</v>
      </c>
      <c r="F41">
        <v>4</v>
      </c>
      <c r="G41" t="s">
        <v>55</v>
      </c>
      <c r="H41">
        <v>1</v>
      </c>
      <c r="I41">
        <v>4</v>
      </c>
      <c r="J41" t="s">
        <v>55</v>
      </c>
    </row>
    <row r="42" spans="1:10" x14ac:dyDescent="0.3">
      <c r="A42" t="s">
        <v>48</v>
      </c>
      <c r="B42">
        <v>2</v>
      </c>
      <c r="C42">
        <v>1</v>
      </c>
      <c r="D42" t="s">
        <v>53</v>
      </c>
      <c r="E42" t="s">
        <v>101</v>
      </c>
      <c r="F42">
        <v>2</v>
      </c>
      <c r="G42" t="s">
        <v>55</v>
      </c>
      <c r="H42">
        <v>1</v>
      </c>
      <c r="I42">
        <v>2</v>
      </c>
      <c r="J42" t="s">
        <v>67</v>
      </c>
    </row>
    <row r="43" spans="1:10" x14ac:dyDescent="0.3">
      <c r="A43" t="s">
        <v>48</v>
      </c>
      <c r="B43">
        <v>4</v>
      </c>
      <c r="C43">
        <v>4</v>
      </c>
      <c r="D43" t="s">
        <v>53</v>
      </c>
      <c r="E43" t="s">
        <v>54</v>
      </c>
      <c r="F43">
        <v>3</v>
      </c>
      <c r="G43" t="s">
        <v>55</v>
      </c>
      <c r="H43">
        <v>2</v>
      </c>
      <c r="I43">
        <v>2</v>
      </c>
      <c r="J43" t="s">
        <v>55</v>
      </c>
    </row>
    <row r="44" spans="1:10" x14ac:dyDescent="0.3">
      <c r="A44" t="s">
        <v>48</v>
      </c>
      <c r="B44">
        <v>3</v>
      </c>
      <c r="C44">
        <v>3</v>
      </c>
      <c r="D44" t="s">
        <v>116</v>
      </c>
      <c r="E44" t="s">
        <v>54</v>
      </c>
      <c r="F44">
        <v>4</v>
      </c>
      <c r="G44" t="s">
        <v>65</v>
      </c>
      <c r="H44">
        <v>2</v>
      </c>
      <c r="I44">
        <v>5</v>
      </c>
      <c r="J44" t="s">
        <v>55</v>
      </c>
    </row>
    <row r="45" spans="1:10" x14ac:dyDescent="0.3">
      <c r="A45" t="s">
        <v>122</v>
      </c>
      <c r="B45">
        <v>4</v>
      </c>
      <c r="C45">
        <v>4</v>
      </c>
      <c r="D45" t="s">
        <v>116</v>
      </c>
      <c r="E45" t="s">
        <v>54</v>
      </c>
      <c r="F45">
        <v>2</v>
      </c>
      <c r="G45" t="s">
        <v>55</v>
      </c>
      <c r="H45">
        <v>4</v>
      </c>
      <c r="I45">
        <v>4</v>
      </c>
      <c r="J45" t="s">
        <v>55</v>
      </c>
    </row>
    <row r="46" spans="1:10" x14ac:dyDescent="0.3">
      <c r="A46" t="s">
        <v>132</v>
      </c>
      <c r="B46">
        <v>2</v>
      </c>
      <c r="C46">
        <v>3</v>
      </c>
      <c r="D46" t="s">
        <v>116</v>
      </c>
      <c r="E46" t="s">
        <v>142</v>
      </c>
      <c r="F46">
        <v>2</v>
      </c>
      <c r="G46" t="s">
        <v>79</v>
      </c>
      <c r="H46">
        <v>1</v>
      </c>
      <c r="I46">
        <v>1</v>
      </c>
      <c r="J46" t="s">
        <v>55</v>
      </c>
    </row>
    <row r="47" spans="1:10" x14ac:dyDescent="0.3">
      <c r="A47" t="s">
        <v>73</v>
      </c>
      <c r="B47">
        <v>3</v>
      </c>
      <c r="C47">
        <v>2</v>
      </c>
      <c r="D47" t="s">
        <v>53</v>
      </c>
      <c r="E47" t="s">
        <v>74</v>
      </c>
      <c r="F47">
        <v>4</v>
      </c>
      <c r="G47" t="s">
        <v>55</v>
      </c>
      <c r="H47">
        <v>1</v>
      </c>
      <c r="I47">
        <v>3</v>
      </c>
      <c r="J47" t="s">
        <v>55</v>
      </c>
    </row>
    <row r="48" spans="1:10" x14ac:dyDescent="0.3">
      <c r="A48" t="s">
        <v>193</v>
      </c>
      <c r="B48">
        <v>3</v>
      </c>
      <c r="C48">
        <v>2</v>
      </c>
      <c r="D48" t="s">
        <v>197</v>
      </c>
      <c r="E48" t="s">
        <v>142</v>
      </c>
      <c r="F48">
        <v>2</v>
      </c>
      <c r="G48" t="s">
        <v>198</v>
      </c>
      <c r="H48">
        <v>2</v>
      </c>
      <c r="I48">
        <v>5</v>
      </c>
      <c r="J48" t="s">
        <v>197</v>
      </c>
    </row>
    <row r="49" spans="1:10" x14ac:dyDescent="0.3">
      <c r="A49" t="s">
        <v>193</v>
      </c>
      <c r="B49">
        <v>2</v>
      </c>
      <c r="C49">
        <v>1</v>
      </c>
      <c r="D49" t="s">
        <v>197</v>
      </c>
      <c r="E49" t="s">
        <v>142</v>
      </c>
      <c r="F49">
        <v>2</v>
      </c>
      <c r="G49" t="s">
        <v>199</v>
      </c>
      <c r="H49">
        <v>1</v>
      </c>
      <c r="I49">
        <v>5</v>
      </c>
      <c r="J49" t="s">
        <v>197</v>
      </c>
    </row>
    <row r="50" spans="1:10" x14ac:dyDescent="0.3">
      <c r="A50" t="s">
        <v>178</v>
      </c>
      <c r="B50">
        <v>4</v>
      </c>
      <c r="C50">
        <v>4</v>
      </c>
      <c r="D50" t="s">
        <v>116</v>
      </c>
      <c r="E50" t="s">
        <v>141</v>
      </c>
      <c r="F50">
        <v>4</v>
      </c>
      <c r="G50" t="s">
        <v>55</v>
      </c>
      <c r="H50">
        <v>1</v>
      </c>
      <c r="I50">
        <v>5</v>
      </c>
      <c r="J50" t="s">
        <v>179</v>
      </c>
    </row>
    <row r="51" spans="1:10" x14ac:dyDescent="0.3">
      <c r="A51" t="s">
        <v>178</v>
      </c>
      <c r="B51">
        <v>3</v>
      </c>
      <c r="C51">
        <v>4</v>
      </c>
      <c r="D51" t="s">
        <v>116</v>
      </c>
      <c r="E51" t="s">
        <v>141</v>
      </c>
      <c r="F51">
        <v>4</v>
      </c>
      <c r="G51" t="s">
        <v>55</v>
      </c>
      <c r="H51">
        <v>2</v>
      </c>
      <c r="I51">
        <v>5</v>
      </c>
      <c r="J51" t="s">
        <v>179</v>
      </c>
    </row>
    <row r="52" spans="1:10" x14ac:dyDescent="0.3">
      <c r="A52" t="s">
        <v>52</v>
      </c>
      <c r="B52">
        <v>4</v>
      </c>
      <c r="C52">
        <v>5</v>
      </c>
      <c r="D52" t="s">
        <v>53</v>
      </c>
      <c r="E52" t="s">
        <v>54</v>
      </c>
      <c r="F52">
        <v>3</v>
      </c>
      <c r="G52" t="s">
        <v>55</v>
      </c>
      <c r="H52">
        <v>5</v>
      </c>
      <c r="I52">
        <v>5</v>
      </c>
      <c r="J52" t="s">
        <v>55</v>
      </c>
    </row>
    <row r="53" spans="1:10" x14ac:dyDescent="0.3">
      <c r="A53" t="s">
        <v>52</v>
      </c>
      <c r="B53">
        <v>4</v>
      </c>
      <c r="C53">
        <v>4</v>
      </c>
      <c r="D53" t="s">
        <v>53</v>
      </c>
      <c r="E53" t="s">
        <v>54</v>
      </c>
      <c r="F53">
        <v>4</v>
      </c>
      <c r="G53" t="s">
        <v>65</v>
      </c>
      <c r="H53">
        <v>5</v>
      </c>
      <c r="I53">
        <v>5</v>
      </c>
      <c r="J53" t="s">
        <v>67</v>
      </c>
    </row>
    <row r="54" spans="1:10" x14ac:dyDescent="0.3">
      <c r="A54" t="s">
        <v>52</v>
      </c>
      <c r="B54">
        <v>4</v>
      </c>
      <c r="C54">
        <v>4</v>
      </c>
      <c r="D54" t="s">
        <v>53</v>
      </c>
      <c r="E54" t="s">
        <v>176</v>
      </c>
      <c r="F54">
        <v>4</v>
      </c>
      <c r="G54" t="s">
        <v>55</v>
      </c>
      <c r="H54">
        <v>3</v>
      </c>
      <c r="I54">
        <v>4</v>
      </c>
      <c r="J54" t="s">
        <v>55</v>
      </c>
    </row>
    <row r="55" spans="1:10" x14ac:dyDescent="0.3">
      <c r="A55" t="s">
        <v>165</v>
      </c>
      <c r="B55">
        <v>4</v>
      </c>
      <c r="C55">
        <v>5</v>
      </c>
      <c r="D55" t="s">
        <v>62</v>
      </c>
      <c r="E55" t="s">
        <v>175</v>
      </c>
      <c r="F55">
        <v>4</v>
      </c>
      <c r="G55" t="s">
        <v>149</v>
      </c>
      <c r="H55">
        <v>2</v>
      </c>
      <c r="I55">
        <v>4</v>
      </c>
      <c r="J55" t="s">
        <v>53</v>
      </c>
    </row>
    <row r="56" spans="1:10" x14ac:dyDescent="0.3">
      <c r="A56" t="s">
        <v>165</v>
      </c>
      <c r="B56">
        <v>4</v>
      </c>
      <c r="C56">
        <v>4</v>
      </c>
      <c r="D56" t="s">
        <v>62</v>
      </c>
      <c r="E56" t="s">
        <v>175</v>
      </c>
      <c r="F56">
        <v>5</v>
      </c>
      <c r="G56" t="s">
        <v>149</v>
      </c>
      <c r="H56">
        <v>2</v>
      </c>
      <c r="I56">
        <v>4</v>
      </c>
      <c r="J56" t="s">
        <v>53</v>
      </c>
    </row>
    <row r="57" spans="1:10" x14ac:dyDescent="0.3">
      <c r="A57" t="s">
        <v>87</v>
      </c>
      <c r="B57">
        <v>3</v>
      </c>
      <c r="C57">
        <v>3</v>
      </c>
      <c r="D57" t="s">
        <v>53</v>
      </c>
      <c r="E57" t="s">
        <v>111</v>
      </c>
      <c r="F57">
        <v>2</v>
      </c>
      <c r="G57" t="s">
        <v>55</v>
      </c>
      <c r="H57">
        <v>1</v>
      </c>
      <c r="I57">
        <v>1</v>
      </c>
      <c r="J57" t="s">
        <v>55</v>
      </c>
    </row>
  </sheetData>
  <autoFilter ref="A1:J45" xr:uid="{9B8B1DBF-FE09-4BF6-9EA2-F12A22336F89}">
    <sortState xmlns:xlrd2="http://schemas.microsoft.com/office/spreadsheetml/2017/richdata2" ref="A2:J57">
      <sortCondition ref="A1:A4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016A-1C88-4BBF-A0B2-B3516B7E61A7}">
  <dimension ref="A3:H47"/>
  <sheetViews>
    <sheetView workbookViewId="0">
      <selection activeCell="B26" sqref="B26"/>
    </sheetView>
  </sheetViews>
  <sheetFormatPr defaultRowHeight="14.4" x14ac:dyDescent="0.3"/>
  <cols>
    <col min="1" max="1" width="20.5546875" bestFit="1" customWidth="1"/>
    <col min="2" max="2" width="116.5546875" bestFit="1" customWidth="1"/>
    <col min="3" max="3" width="113" bestFit="1" customWidth="1"/>
    <col min="4" max="4" width="20.5546875" bestFit="1" customWidth="1"/>
    <col min="5" max="5" width="67.77734375" bestFit="1" customWidth="1"/>
    <col min="6" max="6" width="64.33203125" bestFit="1" customWidth="1"/>
    <col min="7" max="7" width="20.5546875" bestFit="1" customWidth="1"/>
    <col min="8" max="8" width="86.109375" bestFit="1" customWidth="1"/>
  </cols>
  <sheetData>
    <row r="3" spans="1:8" x14ac:dyDescent="0.3">
      <c r="A3" s="10" t="s">
        <v>2</v>
      </c>
      <c r="B3" t="s">
        <v>189</v>
      </c>
      <c r="D3" s="10" t="s">
        <v>2</v>
      </c>
      <c r="E3" t="s">
        <v>190</v>
      </c>
      <c r="G3" s="10" t="s">
        <v>2</v>
      </c>
      <c r="H3" t="s">
        <v>191</v>
      </c>
    </row>
    <row r="4" spans="1:8" x14ac:dyDescent="0.3">
      <c r="A4" t="s">
        <v>40</v>
      </c>
      <c r="B4">
        <v>4.5999999999999996</v>
      </c>
      <c r="D4" t="s">
        <v>40</v>
      </c>
      <c r="E4">
        <v>5</v>
      </c>
      <c r="G4" t="s">
        <v>40</v>
      </c>
      <c r="H4">
        <v>4.4000000000000004</v>
      </c>
    </row>
    <row r="5" spans="1:8" x14ac:dyDescent="0.3">
      <c r="A5" t="s">
        <v>93</v>
      </c>
      <c r="B5">
        <v>3.75</v>
      </c>
      <c r="D5" t="s">
        <v>93</v>
      </c>
      <c r="E5">
        <v>2.5</v>
      </c>
      <c r="G5" t="s">
        <v>93</v>
      </c>
      <c r="H5">
        <v>3.25</v>
      </c>
    </row>
    <row r="6" spans="1:8" x14ac:dyDescent="0.3">
      <c r="A6" t="s">
        <v>78</v>
      </c>
      <c r="B6">
        <v>3</v>
      </c>
      <c r="D6" t="s">
        <v>78</v>
      </c>
      <c r="E6">
        <v>1</v>
      </c>
      <c r="G6" t="s">
        <v>78</v>
      </c>
      <c r="H6">
        <v>3</v>
      </c>
    </row>
    <row r="7" spans="1:8" x14ac:dyDescent="0.3">
      <c r="A7" t="s">
        <v>134</v>
      </c>
      <c r="B7">
        <v>4</v>
      </c>
      <c r="D7" t="s">
        <v>134</v>
      </c>
      <c r="E7">
        <v>4</v>
      </c>
      <c r="G7" t="s">
        <v>134</v>
      </c>
      <c r="H7">
        <v>5</v>
      </c>
    </row>
    <row r="8" spans="1:8" x14ac:dyDescent="0.3">
      <c r="A8" t="s">
        <v>115</v>
      </c>
      <c r="B8">
        <v>4</v>
      </c>
      <c r="D8" t="s">
        <v>115</v>
      </c>
      <c r="E8">
        <v>4</v>
      </c>
      <c r="G8" t="s">
        <v>115</v>
      </c>
      <c r="H8">
        <v>3</v>
      </c>
    </row>
    <row r="9" spans="1:8" x14ac:dyDescent="0.3">
      <c r="A9" t="s">
        <v>44</v>
      </c>
      <c r="B9">
        <v>4.333333333333333</v>
      </c>
      <c r="D9" t="s">
        <v>44</v>
      </c>
      <c r="E9">
        <v>3.3333333333333335</v>
      </c>
      <c r="G9" t="s">
        <v>44</v>
      </c>
      <c r="H9">
        <v>3.3333333333333335</v>
      </c>
    </row>
    <row r="10" spans="1:8" x14ac:dyDescent="0.3">
      <c r="A10" t="s">
        <v>192</v>
      </c>
      <c r="B10">
        <v>5</v>
      </c>
      <c r="D10" t="s">
        <v>192</v>
      </c>
      <c r="E10">
        <v>5</v>
      </c>
      <c r="G10" t="s">
        <v>192</v>
      </c>
      <c r="H10">
        <v>2</v>
      </c>
    </row>
    <row r="11" spans="1:8" x14ac:dyDescent="0.3">
      <c r="A11" t="s">
        <v>83</v>
      </c>
      <c r="B11">
        <v>3.1666666666666665</v>
      </c>
      <c r="D11" t="s">
        <v>83</v>
      </c>
      <c r="E11">
        <v>3</v>
      </c>
      <c r="G11" t="s">
        <v>83</v>
      </c>
      <c r="H11">
        <v>2.6666666666666665</v>
      </c>
    </row>
    <row r="12" spans="1:8" x14ac:dyDescent="0.3">
      <c r="A12" t="s">
        <v>177</v>
      </c>
      <c r="B12">
        <v>4.5</v>
      </c>
      <c r="D12" t="s">
        <v>177</v>
      </c>
      <c r="E12">
        <v>5</v>
      </c>
      <c r="G12" t="s">
        <v>177</v>
      </c>
      <c r="H12">
        <v>3.5</v>
      </c>
    </row>
    <row r="13" spans="1:8" x14ac:dyDescent="0.3">
      <c r="A13" t="s">
        <v>76</v>
      </c>
      <c r="B13">
        <v>3.8333333333333335</v>
      </c>
      <c r="D13" t="s">
        <v>76</v>
      </c>
      <c r="E13">
        <v>3</v>
      </c>
      <c r="G13" t="s">
        <v>76</v>
      </c>
      <c r="H13">
        <v>3.5</v>
      </c>
    </row>
    <row r="14" spans="1:8" x14ac:dyDescent="0.3">
      <c r="A14" t="s">
        <v>58</v>
      </c>
      <c r="B14">
        <v>3.8333333333333335</v>
      </c>
      <c r="D14" t="s">
        <v>58</v>
      </c>
      <c r="E14">
        <v>3.8</v>
      </c>
      <c r="G14" t="s">
        <v>58</v>
      </c>
      <c r="H14">
        <v>3.3333333333333335</v>
      </c>
    </row>
    <row r="15" spans="1:8" x14ac:dyDescent="0.3">
      <c r="A15" t="s">
        <v>164</v>
      </c>
      <c r="B15">
        <v>4</v>
      </c>
      <c r="D15" t="s">
        <v>164</v>
      </c>
      <c r="E15">
        <v>3.5</v>
      </c>
      <c r="G15" t="s">
        <v>164</v>
      </c>
      <c r="H15">
        <v>2.5</v>
      </c>
    </row>
    <row r="16" spans="1:8" x14ac:dyDescent="0.3">
      <c r="A16" t="s">
        <v>48</v>
      </c>
      <c r="B16">
        <v>3.25</v>
      </c>
      <c r="D16" t="s">
        <v>48</v>
      </c>
      <c r="E16">
        <v>2.5</v>
      </c>
      <c r="G16" t="s">
        <v>48</v>
      </c>
      <c r="H16">
        <v>3.25</v>
      </c>
    </row>
    <row r="17" spans="1:8" x14ac:dyDescent="0.3">
      <c r="A17" t="s">
        <v>122</v>
      </c>
      <c r="B17">
        <v>4</v>
      </c>
      <c r="D17" t="s">
        <v>122</v>
      </c>
      <c r="E17">
        <v>4</v>
      </c>
      <c r="G17" t="s">
        <v>122</v>
      </c>
      <c r="H17">
        <v>2</v>
      </c>
    </row>
    <row r="18" spans="1:8" x14ac:dyDescent="0.3">
      <c r="A18" t="s">
        <v>132</v>
      </c>
      <c r="B18">
        <v>2</v>
      </c>
      <c r="D18" t="s">
        <v>132</v>
      </c>
      <c r="E18">
        <v>3</v>
      </c>
      <c r="G18" t="s">
        <v>132</v>
      </c>
      <c r="H18">
        <v>2</v>
      </c>
    </row>
    <row r="19" spans="1:8" x14ac:dyDescent="0.3">
      <c r="A19" t="s">
        <v>73</v>
      </c>
      <c r="B19">
        <v>3</v>
      </c>
      <c r="D19" t="s">
        <v>73</v>
      </c>
      <c r="E19">
        <v>2</v>
      </c>
      <c r="G19" t="s">
        <v>73</v>
      </c>
      <c r="H19">
        <v>4</v>
      </c>
    </row>
    <row r="20" spans="1:8" x14ac:dyDescent="0.3">
      <c r="A20" t="s">
        <v>193</v>
      </c>
      <c r="B20">
        <v>2.5</v>
      </c>
      <c r="D20" t="s">
        <v>193</v>
      </c>
      <c r="E20">
        <v>1.5</v>
      </c>
      <c r="G20" t="s">
        <v>193</v>
      </c>
      <c r="H20">
        <v>2</v>
      </c>
    </row>
    <row r="21" spans="1:8" x14ac:dyDescent="0.3">
      <c r="A21" t="s">
        <v>178</v>
      </c>
      <c r="B21">
        <v>3.5</v>
      </c>
      <c r="D21" t="s">
        <v>178</v>
      </c>
      <c r="E21">
        <v>4</v>
      </c>
      <c r="G21" t="s">
        <v>178</v>
      </c>
      <c r="H21">
        <v>4</v>
      </c>
    </row>
    <row r="22" spans="1:8" x14ac:dyDescent="0.3">
      <c r="A22" t="s">
        <v>52</v>
      </c>
      <c r="B22">
        <v>4</v>
      </c>
      <c r="D22" t="s">
        <v>52</v>
      </c>
      <c r="E22">
        <v>4.333333333333333</v>
      </c>
      <c r="G22" t="s">
        <v>52</v>
      </c>
      <c r="H22">
        <v>3.6666666666666665</v>
      </c>
    </row>
    <row r="23" spans="1:8" x14ac:dyDescent="0.3">
      <c r="A23" t="s">
        <v>165</v>
      </c>
      <c r="B23">
        <v>4</v>
      </c>
      <c r="D23" t="s">
        <v>165</v>
      </c>
      <c r="E23">
        <v>4.5</v>
      </c>
      <c r="G23" t="s">
        <v>165</v>
      </c>
      <c r="H23">
        <v>4.5</v>
      </c>
    </row>
    <row r="24" spans="1:8" x14ac:dyDescent="0.3">
      <c r="A24" t="s">
        <v>87</v>
      </c>
      <c r="B24">
        <v>3</v>
      </c>
      <c r="D24" t="s">
        <v>87</v>
      </c>
      <c r="E24">
        <v>3</v>
      </c>
      <c r="G24" t="s">
        <v>87</v>
      </c>
      <c r="H24">
        <v>2</v>
      </c>
    </row>
    <row r="26" spans="1:8" x14ac:dyDescent="0.3">
      <c r="A26" s="10" t="s">
        <v>2</v>
      </c>
      <c r="B26" t="s">
        <v>201</v>
      </c>
      <c r="D26" s="10" t="s">
        <v>2</v>
      </c>
      <c r="E26" t="s">
        <v>200</v>
      </c>
    </row>
    <row r="27" spans="1:8" x14ac:dyDescent="0.3">
      <c r="A27" t="s">
        <v>40</v>
      </c>
      <c r="B27">
        <v>3</v>
      </c>
      <c r="D27" t="s">
        <v>40</v>
      </c>
      <c r="E27">
        <v>3.2</v>
      </c>
    </row>
    <row r="28" spans="1:8" x14ac:dyDescent="0.3">
      <c r="A28" t="s">
        <v>93</v>
      </c>
      <c r="B28">
        <v>2.5</v>
      </c>
      <c r="D28" t="s">
        <v>93</v>
      </c>
      <c r="E28">
        <v>3</v>
      </c>
    </row>
    <row r="29" spans="1:8" x14ac:dyDescent="0.3">
      <c r="A29" t="s">
        <v>78</v>
      </c>
      <c r="B29">
        <v>2</v>
      </c>
      <c r="D29" t="s">
        <v>78</v>
      </c>
      <c r="E29">
        <v>4</v>
      </c>
    </row>
    <row r="30" spans="1:8" x14ac:dyDescent="0.3">
      <c r="A30" t="s">
        <v>134</v>
      </c>
      <c r="B30">
        <v>4</v>
      </c>
      <c r="D30" t="s">
        <v>134</v>
      </c>
      <c r="E30">
        <v>5</v>
      </c>
    </row>
    <row r="31" spans="1:8" x14ac:dyDescent="0.3">
      <c r="A31" t="s">
        <v>115</v>
      </c>
      <c r="B31">
        <v>4</v>
      </c>
      <c r="D31" t="s">
        <v>115</v>
      </c>
      <c r="E31">
        <v>4</v>
      </c>
    </row>
    <row r="32" spans="1:8" x14ac:dyDescent="0.3">
      <c r="A32" t="s">
        <v>44</v>
      </c>
      <c r="B32">
        <v>3.6666666666666665</v>
      </c>
      <c r="D32" t="s">
        <v>44</v>
      </c>
      <c r="E32">
        <v>4</v>
      </c>
    </row>
    <row r="33" spans="1:5" x14ac:dyDescent="0.3">
      <c r="A33" t="s">
        <v>192</v>
      </c>
      <c r="B33">
        <v>4.5</v>
      </c>
      <c r="D33" t="s">
        <v>192</v>
      </c>
      <c r="E33">
        <v>3</v>
      </c>
    </row>
    <row r="34" spans="1:5" x14ac:dyDescent="0.3">
      <c r="A34" t="s">
        <v>83</v>
      </c>
      <c r="B34">
        <v>1.6666666666666667</v>
      </c>
      <c r="D34" t="s">
        <v>83</v>
      </c>
      <c r="E34">
        <v>3.5</v>
      </c>
    </row>
    <row r="35" spans="1:5" x14ac:dyDescent="0.3">
      <c r="A35" t="s">
        <v>177</v>
      </c>
      <c r="B35">
        <v>3</v>
      </c>
      <c r="D35" t="s">
        <v>177</v>
      </c>
      <c r="E35">
        <v>4</v>
      </c>
    </row>
    <row r="36" spans="1:5" x14ac:dyDescent="0.3">
      <c r="A36" t="s">
        <v>76</v>
      </c>
      <c r="B36">
        <v>1.8333333333333333</v>
      </c>
      <c r="D36" t="s">
        <v>76</v>
      </c>
      <c r="E36">
        <v>3.8333333333333335</v>
      </c>
    </row>
    <row r="37" spans="1:5" x14ac:dyDescent="0.3">
      <c r="A37" t="s">
        <v>58</v>
      </c>
      <c r="B37">
        <v>2</v>
      </c>
      <c r="D37" t="s">
        <v>58</v>
      </c>
      <c r="E37">
        <v>3.3333333333333335</v>
      </c>
    </row>
    <row r="38" spans="1:5" x14ac:dyDescent="0.3">
      <c r="A38" t="s">
        <v>164</v>
      </c>
      <c r="B38">
        <v>3</v>
      </c>
      <c r="D38" t="s">
        <v>164</v>
      </c>
      <c r="E38">
        <v>4</v>
      </c>
    </row>
    <row r="39" spans="1:5" x14ac:dyDescent="0.3">
      <c r="A39" t="s">
        <v>48</v>
      </c>
      <c r="B39">
        <v>1.5</v>
      </c>
      <c r="D39" t="s">
        <v>48</v>
      </c>
      <c r="E39">
        <v>3.25</v>
      </c>
    </row>
    <row r="40" spans="1:5" x14ac:dyDescent="0.3">
      <c r="A40" t="s">
        <v>122</v>
      </c>
      <c r="B40">
        <v>4</v>
      </c>
      <c r="D40" t="s">
        <v>122</v>
      </c>
      <c r="E40">
        <v>4</v>
      </c>
    </row>
    <row r="41" spans="1:5" x14ac:dyDescent="0.3">
      <c r="A41" t="s">
        <v>132</v>
      </c>
      <c r="B41">
        <v>1</v>
      </c>
      <c r="D41" t="s">
        <v>132</v>
      </c>
      <c r="E41">
        <v>1</v>
      </c>
    </row>
    <row r="42" spans="1:5" x14ac:dyDescent="0.3">
      <c r="A42" t="s">
        <v>73</v>
      </c>
      <c r="B42">
        <v>1</v>
      </c>
      <c r="D42" t="s">
        <v>73</v>
      </c>
      <c r="E42">
        <v>3</v>
      </c>
    </row>
    <row r="43" spans="1:5" x14ac:dyDescent="0.3">
      <c r="A43" t="s">
        <v>193</v>
      </c>
      <c r="B43">
        <v>1.5</v>
      </c>
      <c r="D43" t="s">
        <v>193</v>
      </c>
      <c r="E43">
        <v>5</v>
      </c>
    </row>
    <row r="44" spans="1:5" x14ac:dyDescent="0.3">
      <c r="A44" t="s">
        <v>178</v>
      </c>
      <c r="B44">
        <v>1.5</v>
      </c>
      <c r="D44" t="s">
        <v>178</v>
      </c>
      <c r="E44">
        <v>5</v>
      </c>
    </row>
    <row r="45" spans="1:5" x14ac:dyDescent="0.3">
      <c r="A45" t="s">
        <v>52</v>
      </c>
      <c r="B45">
        <v>4.333333333333333</v>
      </c>
      <c r="D45" t="s">
        <v>52</v>
      </c>
      <c r="E45">
        <v>4.666666666666667</v>
      </c>
    </row>
    <row r="46" spans="1:5" x14ac:dyDescent="0.3">
      <c r="A46" t="s">
        <v>165</v>
      </c>
      <c r="B46">
        <v>2</v>
      </c>
      <c r="D46" t="s">
        <v>165</v>
      </c>
      <c r="E46">
        <v>4</v>
      </c>
    </row>
    <row r="47" spans="1:5" x14ac:dyDescent="0.3">
      <c r="A47" t="s">
        <v>87</v>
      </c>
      <c r="B47">
        <v>1</v>
      </c>
      <c r="D47" t="s">
        <v>87</v>
      </c>
      <c r="E4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9A92-28CE-4C1E-996C-ABCA47BB4605}">
  <dimension ref="A1:E22"/>
  <sheetViews>
    <sheetView workbookViewId="0">
      <selection activeCell="E2" sqref="E2:E22"/>
    </sheetView>
  </sheetViews>
  <sheetFormatPr defaultRowHeight="14.4" x14ac:dyDescent="0.3"/>
  <cols>
    <col min="5" max="5" width="13.88671875" bestFit="1" customWidth="1"/>
  </cols>
  <sheetData>
    <row r="1" spans="1:5" s="2" customFormat="1" ht="57.6" x14ac:dyDescent="0.3">
      <c r="A1" s="2" t="s">
        <v>202</v>
      </c>
      <c r="B1" s="2" t="s">
        <v>203</v>
      </c>
      <c r="C1" s="2" t="s">
        <v>204</v>
      </c>
      <c r="D1" s="2" t="s">
        <v>205</v>
      </c>
      <c r="E1" s="2" t="s">
        <v>206</v>
      </c>
    </row>
    <row r="2" spans="1:5" x14ac:dyDescent="0.3">
      <c r="A2" t="s">
        <v>46</v>
      </c>
      <c r="B2" t="s">
        <v>207</v>
      </c>
      <c r="C2" t="s">
        <v>53</v>
      </c>
      <c r="D2" t="s">
        <v>149</v>
      </c>
      <c r="E2" t="s">
        <v>208</v>
      </c>
    </row>
    <row r="3" spans="1:5" x14ac:dyDescent="0.3">
      <c r="A3" t="s">
        <v>48</v>
      </c>
      <c r="B3" t="s">
        <v>209</v>
      </c>
      <c r="C3" t="s">
        <v>53</v>
      </c>
      <c r="D3" t="s">
        <v>149</v>
      </c>
      <c r="E3" t="s">
        <v>149</v>
      </c>
    </row>
    <row r="4" spans="1:5" x14ac:dyDescent="0.3">
      <c r="A4" t="s">
        <v>147</v>
      </c>
      <c r="B4" t="s">
        <v>210</v>
      </c>
      <c r="C4" t="s">
        <v>62</v>
      </c>
      <c r="D4" t="s">
        <v>211</v>
      </c>
      <c r="E4" t="s">
        <v>62</v>
      </c>
    </row>
    <row r="5" spans="1:5" x14ac:dyDescent="0.3">
      <c r="A5" t="s">
        <v>78</v>
      </c>
      <c r="B5" t="s">
        <v>212</v>
      </c>
      <c r="C5" t="s">
        <v>53</v>
      </c>
      <c r="D5" t="s">
        <v>213</v>
      </c>
      <c r="E5" t="s">
        <v>149</v>
      </c>
    </row>
    <row r="6" spans="1:5" x14ac:dyDescent="0.3">
      <c r="A6" t="s">
        <v>134</v>
      </c>
      <c r="B6" t="s">
        <v>54</v>
      </c>
      <c r="C6" t="s">
        <v>62</v>
      </c>
      <c r="D6" t="s">
        <v>149</v>
      </c>
      <c r="E6" t="s">
        <v>149</v>
      </c>
    </row>
    <row r="7" spans="1:5" x14ac:dyDescent="0.3">
      <c r="A7" t="s">
        <v>122</v>
      </c>
      <c r="B7" t="s">
        <v>54</v>
      </c>
      <c r="C7" t="s">
        <v>116</v>
      </c>
      <c r="D7" t="s">
        <v>149</v>
      </c>
      <c r="E7" t="s">
        <v>149</v>
      </c>
    </row>
    <row r="8" spans="1:5" x14ac:dyDescent="0.3">
      <c r="A8" t="s">
        <v>52</v>
      </c>
      <c r="B8" t="s">
        <v>214</v>
      </c>
      <c r="C8" t="s">
        <v>53</v>
      </c>
      <c r="D8" t="s">
        <v>211</v>
      </c>
      <c r="E8" t="s">
        <v>208</v>
      </c>
    </row>
    <row r="9" spans="1:5" x14ac:dyDescent="0.3">
      <c r="A9" t="s">
        <v>146</v>
      </c>
      <c r="B9" t="s">
        <v>210</v>
      </c>
      <c r="C9" t="s">
        <v>62</v>
      </c>
      <c r="D9" t="s">
        <v>211</v>
      </c>
      <c r="E9" t="s">
        <v>53</v>
      </c>
    </row>
    <row r="10" spans="1:5" x14ac:dyDescent="0.3">
      <c r="A10" t="s">
        <v>145</v>
      </c>
      <c r="B10" t="s">
        <v>210</v>
      </c>
      <c r="C10" t="s">
        <v>116</v>
      </c>
      <c r="D10" t="s">
        <v>149</v>
      </c>
      <c r="E10" t="s">
        <v>116</v>
      </c>
    </row>
    <row r="11" spans="1:5" x14ac:dyDescent="0.3">
      <c r="A11" t="s">
        <v>115</v>
      </c>
      <c r="B11" t="s">
        <v>210</v>
      </c>
      <c r="C11" t="s">
        <v>116</v>
      </c>
      <c r="D11" t="s">
        <v>149</v>
      </c>
      <c r="E11" t="s">
        <v>149</v>
      </c>
    </row>
    <row r="12" spans="1:5" x14ac:dyDescent="0.3">
      <c r="A12" t="s">
        <v>44</v>
      </c>
      <c r="B12" t="s">
        <v>207</v>
      </c>
      <c r="C12" t="s">
        <v>53</v>
      </c>
      <c r="D12" t="s">
        <v>149</v>
      </c>
      <c r="E12" t="s">
        <v>62</v>
      </c>
    </row>
    <row r="13" spans="1:5" x14ac:dyDescent="0.3">
      <c r="A13" t="s">
        <v>87</v>
      </c>
      <c r="B13" t="s">
        <v>207</v>
      </c>
      <c r="C13" t="s">
        <v>53</v>
      </c>
      <c r="D13" t="s">
        <v>149</v>
      </c>
      <c r="E13" t="s">
        <v>149</v>
      </c>
    </row>
    <row r="14" spans="1:5" x14ac:dyDescent="0.3">
      <c r="A14" t="s">
        <v>73</v>
      </c>
      <c r="B14" t="s">
        <v>74</v>
      </c>
      <c r="C14" t="s">
        <v>53</v>
      </c>
      <c r="D14" t="s">
        <v>149</v>
      </c>
      <c r="E14" t="s">
        <v>149</v>
      </c>
    </row>
    <row r="15" spans="1:5" x14ac:dyDescent="0.3">
      <c r="A15" t="s">
        <v>83</v>
      </c>
      <c r="B15" t="s">
        <v>215</v>
      </c>
      <c r="C15" t="s">
        <v>53</v>
      </c>
      <c r="D15" t="s">
        <v>216</v>
      </c>
      <c r="E15" t="s">
        <v>149</v>
      </c>
    </row>
    <row r="16" spans="1:5" x14ac:dyDescent="0.3">
      <c r="A16" t="s">
        <v>93</v>
      </c>
      <c r="B16" t="s">
        <v>217</v>
      </c>
      <c r="C16" t="s">
        <v>53</v>
      </c>
      <c r="D16" t="s">
        <v>149</v>
      </c>
      <c r="E16" t="s">
        <v>149</v>
      </c>
    </row>
    <row r="17" spans="1:5" x14ac:dyDescent="0.3">
      <c r="A17" t="s">
        <v>50</v>
      </c>
      <c r="B17" t="s">
        <v>207</v>
      </c>
      <c r="C17" t="s">
        <v>116</v>
      </c>
      <c r="D17" t="s">
        <v>213</v>
      </c>
      <c r="E17" t="s">
        <v>116</v>
      </c>
    </row>
    <row r="18" spans="1:5" x14ac:dyDescent="0.3">
      <c r="A18" t="s">
        <v>132</v>
      </c>
      <c r="B18" t="s">
        <v>207</v>
      </c>
      <c r="C18" t="s">
        <v>116</v>
      </c>
      <c r="D18" t="s">
        <v>213</v>
      </c>
      <c r="E18" t="s">
        <v>149</v>
      </c>
    </row>
    <row r="19" spans="1:5" x14ac:dyDescent="0.3">
      <c r="A19" t="s">
        <v>165</v>
      </c>
      <c r="B19" t="s">
        <v>212</v>
      </c>
      <c r="C19" t="s">
        <v>62</v>
      </c>
      <c r="D19" t="s">
        <v>149</v>
      </c>
      <c r="E19" t="s">
        <v>53</v>
      </c>
    </row>
    <row r="20" spans="1:5" x14ac:dyDescent="0.3">
      <c r="A20" t="s">
        <v>40</v>
      </c>
      <c r="B20" t="s">
        <v>218</v>
      </c>
      <c r="C20" t="s">
        <v>62</v>
      </c>
      <c r="D20" t="s">
        <v>211</v>
      </c>
      <c r="E20" t="s">
        <v>149</v>
      </c>
    </row>
    <row r="21" spans="1:5" x14ac:dyDescent="0.3">
      <c r="A21" t="s">
        <v>58</v>
      </c>
      <c r="B21" t="s">
        <v>212</v>
      </c>
      <c r="C21" t="s">
        <v>53</v>
      </c>
      <c r="D21" t="s">
        <v>149</v>
      </c>
      <c r="E21" t="s">
        <v>149</v>
      </c>
    </row>
    <row r="22" spans="1:5" x14ac:dyDescent="0.3">
      <c r="A22" t="s">
        <v>164</v>
      </c>
      <c r="B22" t="s">
        <v>212</v>
      </c>
      <c r="C22" t="s">
        <v>53</v>
      </c>
      <c r="D22" t="s">
        <v>149</v>
      </c>
      <c r="E22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7E38-BD35-40D1-B916-1621E5597681}">
  <dimension ref="A1:AN54"/>
  <sheetViews>
    <sheetView topLeftCell="O1" workbookViewId="0">
      <pane ySplit="1" topLeftCell="A2" activePane="bottomLeft" state="frozen"/>
      <selection pane="bottomLeft" activeCell="AC20" sqref="AC20"/>
    </sheetView>
  </sheetViews>
  <sheetFormatPr defaultRowHeight="14.4" x14ac:dyDescent="0.3"/>
  <cols>
    <col min="1" max="2" width="12" bestFit="1" customWidth="1"/>
    <col min="6" max="6" width="10.21875" bestFit="1" customWidth="1"/>
    <col min="7" max="7" width="23.5546875" bestFit="1" customWidth="1"/>
    <col min="16" max="16" width="12.88671875" bestFit="1" customWidth="1"/>
  </cols>
  <sheetData>
    <row r="1" spans="1:40" s="2" customFormat="1" ht="142.8000000000000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3">
      <c r="A2" s="1">
        <v>46050.647084293982</v>
      </c>
      <c r="B2" s="1">
        <v>46050.647212939817</v>
      </c>
      <c r="D2">
        <v>5</v>
      </c>
      <c r="Q2" t="s">
        <v>40</v>
      </c>
      <c r="S2">
        <v>5</v>
      </c>
      <c r="AE2">
        <v>658104551</v>
      </c>
      <c r="AF2" t="s">
        <v>41</v>
      </c>
      <c r="AG2" s="1">
        <v>46050.605543981481</v>
      </c>
      <c r="AJ2" t="s">
        <v>42</v>
      </c>
      <c r="AL2" t="s">
        <v>43</v>
      </c>
      <c r="AN2">
        <v>1</v>
      </c>
    </row>
    <row r="3" spans="1:40" x14ac:dyDescent="0.3">
      <c r="A3" s="1">
        <v>46050.647213020828</v>
      </c>
      <c r="B3" s="1">
        <v>46050.647384652781</v>
      </c>
      <c r="D3">
        <v>3</v>
      </c>
      <c r="Q3" t="s">
        <v>44</v>
      </c>
      <c r="S3">
        <v>3</v>
      </c>
      <c r="AE3">
        <v>658104854</v>
      </c>
      <c r="AF3" t="s">
        <v>45</v>
      </c>
      <c r="AG3" s="1">
        <v>46050.605717592603</v>
      </c>
      <c r="AJ3" t="s">
        <v>42</v>
      </c>
      <c r="AL3" t="s">
        <v>43</v>
      </c>
      <c r="AN3">
        <v>2</v>
      </c>
    </row>
    <row r="4" spans="1:40" x14ac:dyDescent="0.3">
      <c r="A4" s="1">
        <v>46050.647384722222</v>
      </c>
      <c r="B4" s="1">
        <v>46050.647802349537</v>
      </c>
      <c r="D4">
        <v>2</v>
      </c>
      <c r="Q4" t="s">
        <v>46</v>
      </c>
      <c r="S4">
        <v>2</v>
      </c>
      <c r="AE4">
        <v>658105431</v>
      </c>
      <c r="AF4" t="s">
        <v>47</v>
      </c>
      <c r="AG4" s="1">
        <v>46050.606134259258</v>
      </c>
      <c r="AJ4" t="s">
        <v>42</v>
      </c>
      <c r="AL4" t="s">
        <v>43</v>
      </c>
      <c r="AN4">
        <v>3</v>
      </c>
    </row>
    <row r="5" spans="1:40" x14ac:dyDescent="0.3">
      <c r="A5" s="1">
        <v>46050.647802430547</v>
      </c>
      <c r="B5" s="1">
        <v>46050.647995243053</v>
      </c>
      <c r="D5">
        <v>4</v>
      </c>
      <c r="Q5" t="s">
        <v>48</v>
      </c>
      <c r="S5">
        <v>3</v>
      </c>
      <c r="AE5">
        <v>658105700</v>
      </c>
      <c r="AF5" t="s">
        <v>49</v>
      </c>
      <c r="AG5" s="1">
        <v>46050.60633101852</v>
      </c>
      <c r="AJ5" t="s">
        <v>42</v>
      </c>
      <c r="AL5" t="s">
        <v>43</v>
      </c>
      <c r="AN5">
        <v>4</v>
      </c>
    </row>
    <row r="6" spans="1:40" x14ac:dyDescent="0.3">
      <c r="A6" s="1">
        <v>46050.647995335647</v>
      </c>
      <c r="B6" s="1">
        <v>46050.648179571763</v>
      </c>
      <c r="D6">
        <v>1</v>
      </c>
      <c r="Q6" t="s">
        <v>50</v>
      </c>
      <c r="S6">
        <v>2</v>
      </c>
      <c r="AE6">
        <v>658106004</v>
      </c>
      <c r="AF6" t="s">
        <v>51</v>
      </c>
      <c r="AG6" s="1">
        <v>46050.606516203698</v>
      </c>
      <c r="AJ6" t="s">
        <v>42</v>
      </c>
      <c r="AL6" t="s">
        <v>43</v>
      </c>
      <c r="AN6">
        <v>5</v>
      </c>
    </row>
    <row r="7" spans="1:40" x14ac:dyDescent="0.3">
      <c r="A7" s="1">
        <v>46057.78526271991</v>
      </c>
      <c r="B7" s="1">
        <v>46057.803412800917</v>
      </c>
      <c r="D7">
        <v>4</v>
      </c>
      <c r="Q7" t="s">
        <v>52</v>
      </c>
      <c r="S7">
        <v>5</v>
      </c>
      <c r="T7" t="s">
        <v>53</v>
      </c>
      <c r="U7" t="s">
        <v>54</v>
      </c>
      <c r="V7">
        <v>0</v>
      </c>
      <c r="W7">
        <v>1</v>
      </c>
      <c r="X7">
        <v>0</v>
      </c>
      <c r="Y7">
        <v>0</v>
      </c>
      <c r="Z7">
        <v>3</v>
      </c>
      <c r="AA7" t="s">
        <v>55</v>
      </c>
      <c r="AB7">
        <v>5</v>
      </c>
      <c r="AC7">
        <v>5</v>
      </c>
      <c r="AD7" t="s">
        <v>55</v>
      </c>
      <c r="AE7">
        <v>663937859</v>
      </c>
      <c r="AF7" t="s">
        <v>56</v>
      </c>
      <c r="AG7" s="1">
        <v>46057.761759259258</v>
      </c>
      <c r="AJ7" t="s">
        <v>42</v>
      </c>
      <c r="AL7" t="s">
        <v>57</v>
      </c>
      <c r="AN7">
        <v>6</v>
      </c>
    </row>
    <row r="8" spans="1:40" x14ac:dyDescent="0.3">
      <c r="A8" s="1">
        <v>46057.78452267361</v>
      </c>
      <c r="B8" s="1">
        <v>46057.80354572917</v>
      </c>
      <c r="D8">
        <v>4</v>
      </c>
      <c r="Q8" t="s">
        <v>58</v>
      </c>
      <c r="R8">
        <v>3</v>
      </c>
      <c r="T8" t="s">
        <v>53</v>
      </c>
      <c r="U8" t="s">
        <v>59</v>
      </c>
      <c r="V8">
        <v>1</v>
      </c>
      <c r="W8">
        <v>1</v>
      </c>
      <c r="X8">
        <v>0</v>
      </c>
      <c r="Y8">
        <v>1</v>
      </c>
      <c r="Z8">
        <v>4</v>
      </c>
      <c r="AA8" t="s">
        <v>55</v>
      </c>
      <c r="AB8">
        <v>3</v>
      </c>
      <c r="AC8">
        <v>3</v>
      </c>
      <c r="AD8" t="s">
        <v>55</v>
      </c>
      <c r="AE8">
        <v>663937976</v>
      </c>
      <c r="AF8" t="s">
        <v>60</v>
      </c>
      <c r="AG8" s="1">
        <v>46057.761886574073</v>
      </c>
      <c r="AJ8" t="s">
        <v>42</v>
      </c>
      <c r="AL8" t="s">
        <v>61</v>
      </c>
      <c r="AN8">
        <v>7</v>
      </c>
    </row>
    <row r="9" spans="1:40" x14ac:dyDescent="0.3">
      <c r="A9" s="1">
        <v>46057.800998738428</v>
      </c>
      <c r="B9" s="1">
        <v>46057.803581655091</v>
      </c>
      <c r="D9">
        <v>3</v>
      </c>
      <c r="Q9" t="s">
        <v>58</v>
      </c>
      <c r="S9">
        <v>4</v>
      </c>
      <c r="T9" t="s">
        <v>62</v>
      </c>
      <c r="U9" t="s">
        <v>59</v>
      </c>
      <c r="V9">
        <v>1</v>
      </c>
      <c r="W9">
        <v>1</v>
      </c>
      <c r="X9">
        <v>0</v>
      </c>
      <c r="Y9">
        <v>1</v>
      </c>
      <c r="Z9">
        <v>3</v>
      </c>
      <c r="AA9" t="s">
        <v>55</v>
      </c>
      <c r="AB9">
        <v>1</v>
      </c>
      <c r="AC9">
        <v>4</v>
      </c>
      <c r="AD9" t="s">
        <v>55</v>
      </c>
      <c r="AE9">
        <v>663938015</v>
      </c>
      <c r="AF9" t="s">
        <v>63</v>
      </c>
      <c r="AG9" s="1">
        <v>46057.761932870373</v>
      </c>
      <c r="AJ9" t="s">
        <v>42</v>
      </c>
      <c r="AL9" t="s">
        <v>57</v>
      </c>
      <c r="AN9">
        <v>8</v>
      </c>
    </row>
    <row r="10" spans="1:40" x14ac:dyDescent="0.3">
      <c r="A10" s="1">
        <v>46057.806933321757</v>
      </c>
      <c r="B10" s="1">
        <v>46057.810708414348</v>
      </c>
      <c r="D10">
        <v>5</v>
      </c>
      <c r="Q10" t="s">
        <v>40</v>
      </c>
      <c r="R10">
        <v>5</v>
      </c>
      <c r="T10" t="s">
        <v>62</v>
      </c>
      <c r="U10" t="s">
        <v>64</v>
      </c>
      <c r="V10">
        <v>1</v>
      </c>
      <c r="W10">
        <v>1</v>
      </c>
      <c r="X10">
        <v>1</v>
      </c>
      <c r="Y10">
        <v>0</v>
      </c>
      <c r="Z10">
        <v>5</v>
      </c>
      <c r="AA10" t="s">
        <v>65</v>
      </c>
      <c r="AB10">
        <v>5</v>
      </c>
      <c r="AC10">
        <v>5</v>
      </c>
      <c r="AD10" t="s">
        <v>55</v>
      </c>
      <c r="AE10">
        <v>663943066</v>
      </c>
      <c r="AF10" t="s">
        <v>66</v>
      </c>
      <c r="AG10" s="1">
        <v>46057.769062500003</v>
      </c>
      <c r="AJ10" t="s">
        <v>42</v>
      </c>
      <c r="AL10" t="s">
        <v>61</v>
      </c>
      <c r="AN10">
        <v>9</v>
      </c>
    </row>
    <row r="11" spans="1:40" x14ac:dyDescent="0.3">
      <c r="A11" s="1">
        <v>46057.895603865742</v>
      </c>
      <c r="B11" s="1">
        <v>46057.896568750002</v>
      </c>
      <c r="C11" t="s">
        <v>40</v>
      </c>
      <c r="D11">
        <v>4</v>
      </c>
      <c r="E11">
        <v>5</v>
      </c>
      <c r="F11" t="s">
        <v>62</v>
      </c>
      <c r="G11" t="s">
        <v>54</v>
      </c>
      <c r="H11">
        <v>0</v>
      </c>
      <c r="I11">
        <v>1</v>
      </c>
      <c r="J11">
        <v>0</v>
      </c>
      <c r="K11">
        <v>0</v>
      </c>
      <c r="L11">
        <v>3</v>
      </c>
      <c r="M11" t="s">
        <v>55</v>
      </c>
      <c r="N11">
        <v>4</v>
      </c>
      <c r="O11">
        <v>3</v>
      </c>
      <c r="P11" t="s">
        <v>67</v>
      </c>
      <c r="AE11">
        <v>663989485</v>
      </c>
      <c r="AF11" t="s">
        <v>68</v>
      </c>
      <c r="AG11" s="1">
        <v>46057.854907407411</v>
      </c>
      <c r="AJ11" t="s">
        <v>42</v>
      </c>
      <c r="AL11" t="s">
        <v>69</v>
      </c>
      <c r="AN11">
        <v>10</v>
      </c>
    </row>
    <row r="12" spans="1:40" x14ac:dyDescent="0.3">
      <c r="A12" s="1">
        <v>46057.896569039352</v>
      </c>
      <c r="B12" s="1">
        <v>46057.896789004633</v>
      </c>
      <c r="AE12">
        <v>663989609</v>
      </c>
      <c r="AF12" t="s">
        <v>70</v>
      </c>
      <c r="AG12" s="1">
        <v>46057.855138888888</v>
      </c>
      <c r="AJ12" t="s">
        <v>42</v>
      </c>
      <c r="AL12" t="s">
        <v>69</v>
      </c>
      <c r="AN12">
        <v>11</v>
      </c>
    </row>
    <row r="13" spans="1:40" x14ac:dyDescent="0.3">
      <c r="A13" s="1">
        <v>46057.896940115737</v>
      </c>
      <c r="B13" s="1">
        <v>46057.897710625002</v>
      </c>
      <c r="C13" t="s">
        <v>44</v>
      </c>
      <c r="D13">
        <v>5</v>
      </c>
      <c r="E13">
        <v>5</v>
      </c>
      <c r="F13" t="s">
        <v>62</v>
      </c>
      <c r="G13" t="s">
        <v>71</v>
      </c>
      <c r="H13">
        <v>1</v>
      </c>
      <c r="I13">
        <v>1</v>
      </c>
      <c r="J13">
        <v>1</v>
      </c>
      <c r="K13">
        <v>1</v>
      </c>
      <c r="L13">
        <v>4</v>
      </c>
      <c r="M13" t="s">
        <v>55</v>
      </c>
      <c r="N13">
        <v>4</v>
      </c>
      <c r="O13">
        <v>5</v>
      </c>
      <c r="P13" t="s">
        <v>67</v>
      </c>
      <c r="AE13">
        <v>663989992</v>
      </c>
      <c r="AF13" t="s">
        <v>72</v>
      </c>
      <c r="AG13" s="1">
        <v>46057.856041666673</v>
      </c>
      <c r="AJ13" t="s">
        <v>42</v>
      </c>
      <c r="AL13" t="s">
        <v>69</v>
      </c>
      <c r="AN13">
        <v>12</v>
      </c>
    </row>
    <row r="14" spans="1:40" x14ac:dyDescent="0.3">
      <c r="A14" s="1">
        <v>46057.896094583331</v>
      </c>
      <c r="B14" s="1">
        <v>46057.898154513889</v>
      </c>
      <c r="C14" t="s">
        <v>73</v>
      </c>
      <c r="D14">
        <v>3</v>
      </c>
      <c r="E14">
        <v>2</v>
      </c>
      <c r="F14" t="s">
        <v>53</v>
      </c>
      <c r="G14" t="s">
        <v>74</v>
      </c>
      <c r="H14">
        <v>0</v>
      </c>
      <c r="I14">
        <v>0</v>
      </c>
      <c r="J14">
        <v>1</v>
      </c>
      <c r="K14">
        <v>0</v>
      </c>
      <c r="L14">
        <v>4</v>
      </c>
      <c r="M14" t="s">
        <v>55</v>
      </c>
      <c r="N14">
        <v>1</v>
      </c>
      <c r="O14">
        <v>3</v>
      </c>
      <c r="P14" t="s">
        <v>55</v>
      </c>
      <c r="AE14">
        <v>663990166</v>
      </c>
      <c r="AF14" t="s">
        <v>75</v>
      </c>
      <c r="AG14" s="1">
        <v>46057.856504629628</v>
      </c>
      <c r="AJ14" t="s">
        <v>42</v>
      </c>
      <c r="AL14" t="s">
        <v>69</v>
      </c>
      <c r="AN14">
        <v>13</v>
      </c>
    </row>
    <row r="15" spans="1:40" x14ac:dyDescent="0.3">
      <c r="A15" s="1">
        <v>46057.902400474537</v>
      </c>
      <c r="B15" s="1">
        <v>46057.9033178588</v>
      </c>
      <c r="C15" t="s">
        <v>76</v>
      </c>
      <c r="D15">
        <v>4</v>
      </c>
      <c r="E15">
        <v>3</v>
      </c>
      <c r="F15" t="s">
        <v>53</v>
      </c>
      <c r="G15" t="s">
        <v>71</v>
      </c>
      <c r="H15">
        <v>1</v>
      </c>
      <c r="I15">
        <v>1</v>
      </c>
      <c r="J15">
        <v>1</v>
      </c>
      <c r="K15">
        <v>1</v>
      </c>
      <c r="L15">
        <v>3</v>
      </c>
      <c r="M15" t="s">
        <v>55</v>
      </c>
      <c r="N15">
        <v>3</v>
      </c>
      <c r="O15">
        <v>3</v>
      </c>
      <c r="P15" t="s">
        <v>55</v>
      </c>
      <c r="AE15">
        <v>663992379</v>
      </c>
      <c r="AF15" t="s">
        <v>77</v>
      </c>
      <c r="AG15" s="1">
        <v>46057.861655092587</v>
      </c>
      <c r="AJ15" t="s">
        <v>42</v>
      </c>
      <c r="AL15" t="s">
        <v>69</v>
      </c>
      <c r="AN15">
        <v>14</v>
      </c>
    </row>
    <row r="16" spans="1:40" x14ac:dyDescent="0.3">
      <c r="A16" s="1">
        <v>46057.90479641204</v>
      </c>
      <c r="B16" s="1">
        <v>46057.905841689811</v>
      </c>
      <c r="C16" t="s">
        <v>78</v>
      </c>
      <c r="D16">
        <v>3</v>
      </c>
      <c r="E16">
        <v>1</v>
      </c>
      <c r="F16" t="s">
        <v>53</v>
      </c>
      <c r="G16" t="s">
        <v>59</v>
      </c>
      <c r="H16">
        <v>1</v>
      </c>
      <c r="I16">
        <v>1</v>
      </c>
      <c r="J16">
        <v>0</v>
      </c>
      <c r="K16">
        <v>1</v>
      </c>
      <c r="L16">
        <v>3</v>
      </c>
      <c r="M16" t="s">
        <v>79</v>
      </c>
      <c r="N16">
        <v>2</v>
      </c>
      <c r="O16">
        <v>4</v>
      </c>
      <c r="P16" t="s">
        <v>55</v>
      </c>
      <c r="AE16">
        <v>663993753</v>
      </c>
      <c r="AF16" t="s">
        <v>80</v>
      </c>
      <c r="AG16" s="1">
        <v>46057.864224537043</v>
      </c>
      <c r="AJ16" t="s">
        <v>42</v>
      </c>
      <c r="AL16" t="s">
        <v>69</v>
      </c>
      <c r="AN16">
        <v>15</v>
      </c>
    </row>
    <row r="17" spans="1:40" x14ac:dyDescent="0.3">
      <c r="A17" s="1">
        <v>46057.910443912027</v>
      </c>
      <c r="B17" s="1">
        <v>46057.9104896875</v>
      </c>
      <c r="AE17">
        <v>663995560</v>
      </c>
      <c r="AF17" t="s">
        <v>81</v>
      </c>
      <c r="AG17" s="1">
        <v>46057.868831018517</v>
      </c>
      <c r="AJ17" t="s">
        <v>42</v>
      </c>
      <c r="AL17" t="s">
        <v>69</v>
      </c>
      <c r="AN17">
        <v>16</v>
      </c>
    </row>
    <row r="18" spans="1:40" x14ac:dyDescent="0.3">
      <c r="A18" s="1">
        <v>46057.910119224543</v>
      </c>
      <c r="B18" s="1">
        <v>46057.911184618053</v>
      </c>
      <c r="C18" t="s">
        <v>76</v>
      </c>
      <c r="D18">
        <v>3</v>
      </c>
      <c r="E18">
        <v>1</v>
      </c>
      <c r="F18" t="s">
        <v>53</v>
      </c>
      <c r="G18" t="s">
        <v>71</v>
      </c>
      <c r="H18">
        <v>1</v>
      </c>
      <c r="I18">
        <v>1</v>
      </c>
      <c r="J18">
        <v>1</v>
      </c>
      <c r="K18">
        <v>1</v>
      </c>
      <c r="L18">
        <v>2</v>
      </c>
      <c r="M18" t="s">
        <v>55</v>
      </c>
      <c r="N18">
        <v>1</v>
      </c>
      <c r="O18">
        <v>3</v>
      </c>
      <c r="P18" t="s">
        <v>67</v>
      </c>
      <c r="AE18">
        <v>663995779</v>
      </c>
      <c r="AF18" t="s">
        <v>82</v>
      </c>
      <c r="AG18" s="1">
        <v>46057.869525462957</v>
      </c>
      <c r="AJ18" t="s">
        <v>42</v>
      </c>
      <c r="AL18" t="s">
        <v>69</v>
      </c>
      <c r="AN18">
        <v>17</v>
      </c>
    </row>
    <row r="19" spans="1:40" x14ac:dyDescent="0.3">
      <c r="A19" s="1">
        <v>46057.910490347233</v>
      </c>
      <c r="B19" s="1">
        <v>46057.911403275473</v>
      </c>
      <c r="C19" t="s">
        <v>83</v>
      </c>
      <c r="D19">
        <v>4</v>
      </c>
      <c r="E19">
        <v>4</v>
      </c>
      <c r="F19" t="s">
        <v>53</v>
      </c>
      <c r="G19" t="s">
        <v>71</v>
      </c>
      <c r="H19">
        <v>1</v>
      </c>
      <c r="I19">
        <v>1</v>
      </c>
      <c r="J19">
        <v>1</v>
      </c>
      <c r="K19">
        <v>1</v>
      </c>
      <c r="L19">
        <v>2</v>
      </c>
      <c r="M19" t="s">
        <v>79</v>
      </c>
      <c r="N19">
        <v>2</v>
      </c>
      <c r="O19">
        <v>4</v>
      </c>
      <c r="P19" t="s">
        <v>55</v>
      </c>
      <c r="AE19">
        <v>663995857</v>
      </c>
      <c r="AF19" t="s">
        <v>84</v>
      </c>
      <c r="AG19" s="1">
        <v>46057.869768518518</v>
      </c>
      <c r="AJ19" t="s">
        <v>42</v>
      </c>
      <c r="AL19" t="s">
        <v>69</v>
      </c>
      <c r="AN19">
        <v>18</v>
      </c>
    </row>
    <row r="20" spans="1:40" x14ac:dyDescent="0.3">
      <c r="A20" s="1">
        <v>46057.940816550923</v>
      </c>
      <c r="B20" s="1">
        <v>46057.941964062498</v>
      </c>
      <c r="C20" t="s">
        <v>48</v>
      </c>
      <c r="D20">
        <v>4</v>
      </c>
      <c r="E20">
        <v>2</v>
      </c>
      <c r="F20" t="s">
        <v>53</v>
      </c>
      <c r="G20" t="s">
        <v>71</v>
      </c>
      <c r="H20">
        <v>1</v>
      </c>
      <c r="I20">
        <v>1</v>
      </c>
      <c r="J20">
        <v>1</v>
      </c>
      <c r="K20">
        <v>1</v>
      </c>
      <c r="L20">
        <v>4</v>
      </c>
      <c r="M20" t="s">
        <v>55</v>
      </c>
      <c r="N20">
        <v>1</v>
      </c>
      <c r="O20">
        <v>4</v>
      </c>
      <c r="P20" t="s">
        <v>55</v>
      </c>
      <c r="AE20">
        <v>664007234</v>
      </c>
      <c r="AF20" t="s">
        <v>85</v>
      </c>
      <c r="AG20" s="1">
        <v>46057.900300925918</v>
      </c>
      <c r="AJ20" t="s">
        <v>42</v>
      </c>
      <c r="AL20" t="s">
        <v>69</v>
      </c>
      <c r="AN20">
        <v>19</v>
      </c>
    </row>
    <row r="21" spans="1:40" x14ac:dyDescent="0.3">
      <c r="A21" s="1">
        <v>46057.975609328707</v>
      </c>
      <c r="B21" s="1">
        <v>46057.976876574066</v>
      </c>
      <c r="C21" t="s">
        <v>76</v>
      </c>
      <c r="D21">
        <v>5</v>
      </c>
      <c r="E21">
        <v>4</v>
      </c>
      <c r="F21" t="s">
        <v>53</v>
      </c>
      <c r="G21" t="s">
        <v>59</v>
      </c>
      <c r="H21">
        <v>1</v>
      </c>
      <c r="I21">
        <v>1</v>
      </c>
      <c r="J21">
        <v>0</v>
      </c>
      <c r="K21">
        <v>1</v>
      </c>
      <c r="L21">
        <v>4</v>
      </c>
      <c r="M21" t="s">
        <v>55</v>
      </c>
      <c r="N21">
        <v>2</v>
      </c>
      <c r="O21">
        <v>5</v>
      </c>
      <c r="P21" t="s">
        <v>55</v>
      </c>
      <c r="AE21">
        <v>664018771</v>
      </c>
      <c r="AF21" t="s">
        <v>86</v>
      </c>
      <c r="AG21" s="1">
        <v>46057.935219907413</v>
      </c>
      <c r="AJ21" t="s">
        <v>42</v>
      </c>
      <c r="AL21" t="s">
        <v>69</v>
      </c>
      <c r="AN21">
        <v>20</v>
      </c>
    </row>
    <row r="22" spans="1:40" x14ac:dyDescent="0.3">
      <c r="A22" s="1">
        <v>46057.991321620371</v>
      </c>
      <c r="B22" s="1">
        <v>46057.992460972222</v>
      </c>
      <c r="C22" t="s">
        <v>87</v>
      </c>
      <c r="D22">
        <v>3</v>
      </c>
      <c r="E22">
        <v>3</v>
      </c>
      <c r="F22" t="s">
        <v>53</v>
      </c>
      <c r="G22" t="s">
        <v>71</v>
      </c>
      <c r="H22">
        <v>1</v>
      </c>
      <c r="I22">
        <v>1</v>
      </c>
      <c r="J22">
        <v>1</v>
      </c>
      <c r="K22">
        <v>1</v>
      </c>
      <c r="L22">
        <v>2</v>
      </c>
      <c r="M22" t="s">
        <v>55</v>
      </c>
      <c r="N22">
        <v>1</v>
      </c>
      <c r="O22">
        <v>1</v>
      </c>
      <c r="P22" t="s">
        <v>55</v>
      </c>
      <c r="AE22">
        <v>664024266</v>
      </c>
      <c r="AF22" t="s">
        <v>88</v>
      </c>
      <c r="AG22" s="1">
        <v>46057.950798611113</v>
      </c>
      <c r="AJ22" t="s">
        <v>42</v>
      </c>
      <c r="AL22" t="s">
        <v>69</v>
      </c>
      <c r="AN22">
        <v>21</v>
      </c>
    </row>
    <row r="23" spans="1:40" x14ac:dyDescent="0.3">
      <c r="A23" s="1">
        <v>46058.008026724543</v>
      </c>
      <c r="B23" s="1">
        <v>46058.008789004627</v>
      </c>
      <c r="C23" t="s">
        <v>58</v>
      </c>
      <c r="D23">
        <v>3</v>
      </c>
      <c r="E23">
        <v>3</v>
      </c>
      <c r="F23" t="s">
        <v>53</v>
      </c>
      <c r="G23" t="s">
        <v>89</v>
      </c>
      <c r="H23">
        <v>1</v>
      </c>
      <c r="I23">
        <v>0</v>
      </c>
      <c r="J23">
        <v>0</v>
      </c>
      <c r="K23">
        <v>1</v>
      </c>
      <c r="L23">
        <v>5</v>
      </c>
      <c r="M23" t="s">
        <v>65</v>
      </c>
      <c r="N23">
        <v>1</v>
      </c>
      <c r="O23">
        <v>3</v>
      </c>
      <c r="P23" t="s">
        <v>67</v>
      </c>
      <c r="AE23">
        <v>664030716</v>
      </c>
      <c r="AF23" t="s">
        <v>90</v>
      </c>
      <c r="AG23" s="1">
        <v>46057.967349537037</v>
      </c>
      <c r="AJ23" t="s">
        <v>42</v>
      </c>
      <c r="AL23" t="s">
        <v>69</v>
      </c>
      <c r="AN23">
        <v>22</v>
      </c>
    </row>
    <row r="24" spans="1:40" x14ac:dyDescent="0.3">
      <c r="A24" s="1">
        <v>46058.152725624997</v>
      </c>
      <c r="B24" s="1">
        <v>46058.153547615737</v>
      </c>
      <c r="C24" t="s">
        <v>58</v>
      </c>
      <c r="D24">
        <v>5</v>
      </c>
      <c r="E24">
        <v>5</v>
      </c>
      <c r="F24" t="s">
        <v>53</v>
      </c>
      <c r="L24">
        <v>3</v>
      </c>
      <c r="M24" t="s">
        <v>55</v>
      </c>
      <c r="N24">
        <v>3</v>
      </c>
      <c r="O24">
        <v>5</v>
      </c>
      <c r="P24" t="s">
        <v>55</v>
      </c>
      <c r="AE24">
        <v>664082217</v>
      </c>
      <c r="AF24" t="s">
        <v>91</v>
      </c>
      <c r="AG24" s="1">
        <v>46058.111886574072</v>
      </c>
      <c r="AJ24" t="s">
        <v>42</v>
      </c>
      <c r="AL24" t="s">
        <v>69</v>
      </c>
      <c r="AN24">
        <v>23</v>
      </c>
    </row>
    <row r="25" spans="1:40" x14ac:dyDescent="0.3">
      <c r="A25" s="1">
        <v>46058.175398009262</v>
      </c>
      <c r="B25" s="1">
        <v>46058.175490717593</v>
      </c>
      <c r="AE25">
        <v>664091152</v>
      </c>
      <c r="AF25" t="s">
        <v>92</v>
      </c>
      <c r="AG25" s="1">
        <v>46058.133842592593</v>
      </c>
      <c r="AJ25" t="s">
        <v>42</v>
      </c>
      <c r="AL25" t="s">
        <v>69</v>
      </c>
      <c r="AN25">
        <v>24</v>
      </c>
    </row>
    <row r="26" spans="1:40" x14ac:dyDescent="0.3">
      <c r="A26" s="1">
        <v>46058.226633217593</v>
      </c>
      <c r="B26" s="1">
        <v>46058.227655196759</v>
      </c>
      <c r="C26" t="s">
        <v>93</v>
      </c>
      <c r="D26">
        <v>3</v>
      </c>
      <c r="E26">
        <v>2</v>
      </c>
      <c r="F26" t="s">
        <v>62</v>
      </c>
      <c r="G26" t="s">
        <v>94</v>
      </c>
      <c r="H26">
        <v>0</v>
      </c>
      <c r="I26">
        <v>1</v>
      </c>
      <c r="J26">
        <v>0</v>
      </c>
      <c r="K26">
        <v>1</v>
      </c>
      <c r="L26">
        <v>4</v>
      </c>
      <c r="M26" t="s">
        <v>55</v>
      </c>
      <c r="N26">
        <v>3</v>
      </c>
      <c r="O26">
        <v>4</v>
      </c>
      <c r="P26" t="s">
        <v>55</v>
      </c>
      <c r="AE26">
        <v>664111109</v>
      </c>
      <c r="AF26" t="s">
        <v>95</v>
      </c>
      <c r="AG26" s="1">
        <v>46058.186006944437</v>
      </c>
      <c r="AJ26" t="s">
        <v>42</v>
      </c>
      <c r="AL26" t="s">
        <v>69</v>
      </c>
      <c r="AN26">
        <v>25</v>
      </c>
    </row>
    <row r="27" spans="1:40" x14ac:dyDescent="0.3">
      <c r="A27" s="1">
        <v>46058.287430034718</v>
      </c>
      <c r="B27" s="1">
        <v>46058.288346898153</v>
      </c>
      <c r="D27">
        <v>4</v>
      </c>
      <c r="Q27" t="s">
        <v>58</v>
      </c>
      <c r="R27">
        <v>3</v>
      </c>
      <c r="T27" t="s">
        <v>53</v>
      </c>
      <c r="U27" t="s">
        <v>59</v>
      </c>
      <c r="V27">
        <v>1</v>
      </c>
      <c r="W27">
        <v>1</v>
      </c>
      <c r="X27">
        <v>0</v>
      </c>
      <c r="Y27">
        <v>1</v>
      </c>
      <c r="Z27">
        <v>4</v>
      </c>
      <c r="AA27" t="s">
        <v>55</v>
      </c>
      <c r="AB27">
        <v>2</v>
      </c>
      <c r="AC27">
        <v>4</v>
      </c>
      <c r="AD27" t="s">
        <v>55</v>
      </c>
      <c r="AE27">
        <v>664159774</v>
      </c>
      <c r="AF27" t="s">
        <v>96</v>
      </c>
      <c r="AG27" s="1">
        <v>46058.246678240743</v>
      </c>
      <c r="AJ27" t="s">
        <v>42</v>
      </c>
      <c r="AL27" t="s">
        <v>97</v>
      </c>
      <c r="AN27">
        <v>26</v>
      </c>
    </row>
    <row r="28" spans="1:40" x14ac:dyDescent="0.3">
      <c r="A28" s="1">
        <v>46058.312552928241</v>
      </c>
      <c r="B28" s="1">
        <v>46058.313968391201</v>
      </c>
      <c r="C28" t="s">
        <v>76</v>
      </c>
      <c r="D28">
        <v>5</v>
      </c>
      <c r="E28">
        <v>4</v>
      </c>
      <c r="F28" t="s">
        <v>53</v>
      </c>
      <c r="G28" t="s">
        <v>59</v>
      </c>
      <c r="H28">
        <v>1</v>
      </c>
      <c r="I28">
        <v>1</v>
      </c>
      <c r="J28">
        <v>0</v>
      </c>
      <c r="K28">
        <v>1</v>
      </c>
      <c r="L28">
        <v>5</v>
      </c>
      <c r="M28" t="s">
        <v>55</v>
      </c>
      <c r="N28">
        <v>1</v>
      </c>
      <c r="O28">
        <v>4</v>
      </c>
      <c r="P28" t="s">
        <v>67</v>
      </c>
      <c r="AE28">
        <v>664188257</v>
      </c>
      <c r="AF28" t="s">
        <v>98</v>
      </c>
      <c r="AG28" s="1">
        <v>46058.272314814807</v>
      </c>
      <c r="AJ28" t="s">
        <v>42</v>
      </c>
      <c r="AL28" t="s">
        <v>69</v>
      </c>
      <c r="AN28">
        <v>27</v>
      </c>
    </row>
    <row r="29" spans="1:40" x14ac:dyDescent="0.3">
      <c r="A29" s="1">
        <v>46058.325312175934</v>
      </c>
      <c r="B29" s="1">
        <v>46058.326931759257</v>
      </c>
      <c r="C29" t="s">
        <v>58</v>
      </c>
      <c r="D29">
        <v>4</v>
      </c>
      <c r="E29">
        <v>4</v>
      </c>
      <c r="F29" t="s">
        <v>53</v>
      </c>
      <c r="G29" t="s">
        <v>54</v>
      </c>
      <c r="H29">
        <v>0</v>
      </c>
      <c r="I29">
        <v>1</v>
      </c>
      <c r="J29">
        <v>0</v>
      </c>
      <c r="K29">
        <v>0</v>
      </c>
      <c r="L29">
        <v>3</v>
      </c>
      <c r="M29" t="s">
        <v>55</v>
      </c>
      <c r="N29">
        <v>2</v>
      </c>
      <c r="O29">
        <v>4</v>
      </c>
      <c r="P29" t="s">
        <v>55</v>
      </c>
      <c r="AE29">
        <v>664205042</v>
      </c>
      <c r="AF29" t="s">
        <v>99</v>
      </c>
      <c r="AG29" s="1">
        <v>46058.285277777781</v>
      </c>
      <c r="AJ29" t="s">
        <v>42</v>
      </c>
      <c r="AL29" t="s">
        <v>100</v>
      </c>
      <c r="AN29">
        <v>28</v>
      </c>
    </row>
    <row r="30" spans="1:40" x14ac:dyDescent="0.3">
      <c r="A30" s="1">
        <v>46058.405288275462</v>
      </c>
      <c r="B30" s="1">
        <v>46058.406429826391</v>
      </c>
      <c r="C30" t="s">
        <v>48</v>
      </c>
      <c r="D30">
        <v>2</v>
      </c>
      <c r="E30">
        <v>1</v>
      </c>
      <c r="F30" t="s">
        <v>53</v>
      </c>
      <c r="G30" t="s">
        <v>101</v>
      </c>
      <c r="H30">
        <v>0</v>
      </c>
      <c r="I30">
        <v>0</v>
      </c>
      <c r="J30">
        <v>0</v>
      </c>
      <c r="K30">
        <v>1</v>
      </c>
      <c r="L30">
        <v>2</v>
      </c>
      <c r="M30" t="s">
        <v>55</v>
      </c>
      <c r="N30">
        <v>1</v>
      </c>
      <c r="O30">
        <v>2</v>
      </c>
      <c r="P30" t="s">
        <v>67</v>
      </c>
      <c r="AE30">
        <v>664314078</v>
      </c>
      <c r="AF30" t="s">
        <v>102</v>
      </c>
      <c r="AG30" s="1">
        <v>46058.364768518521</v>
      </c>
      <c r="AJ30" t="s">
        <v>42</v>
      </c>
      <c r="AL30" t="s">
        <v>100</v>
      </c>
      <c r="AN30">
        <v>29</v>
      </c>
    </row>
    <row r="31" spans="1:40" x14ac:dyDescent="0.3">
      <c r="A31" s="1">
        <v>46058.446239490739</v>
      </c>
      <c r="B31" s="1">
        <v>46058.453201018521</v>
      </c>
      <c r="C31" t="s">
        <v>93</v>
      </c>
      <c r="D31">
        <v>4</v>
      </c>
      <c r="E31">
        <v>3</v>
      </c>
      <c r="F31" t="s">
        <v>53</v>
      </c>
      <c r="G31" t="s">
        <v>101</v>
      </c>
      <c r="H31">
        <v>0</v>
      </c>
      <c r="I31">
        <v>0</v>
      </c>
      <c r="J31">
        <v>0</v>
      </c>
      <c r="K31">
        <v>1</v>
      </c>
      <c r="L31">
        <v>3</v>
      </c>
      <c r="M31" t="s">
        <v>55</v>
      </c>
      <c r="N31">
        <v>2</v>
      </c>
      <c r="O31">
        <v>3</v>
      </c>
      <c r="P31" t="s">
        <v>55</v>
      </c>
      <c r="AE31">
        <v>664388813</v>
      </c>
      <c r="AF31" t="s">
        <v>103</v>
      </c>
      <c r="AG31" s="1">
        <v>46058.411550925928</v>
      </c>
      <c r="AJ31" t="s">
        <v>42</v>
      </c>
      <c r="AL31" t="s">
        <v>100</v>
      </c>
      <c r="AN31">
        <v>30</v>
      </c>
    </row>
    <row r="32" spans="1:40" x14ac:dyDescent="0.3">
      <c r="A32" s="1">
        <v>46058.453204502322</v>
      </c>
      <c r="B32" s="1">
        <v>46058.457670069452</v>
      </c>
      <c r="C32" t="s">
        <v>93</v>
      </c>
      <c r="D32">
        <v>4</v>
      </c>
      <c r="E32">
        <v>3</v>
      </c>
      <c r="F32" t="s">
        <v>53</v>
      </c>
      <c r="G32" t="s">
        <v>59</v>
      </c>
      <c r="H32">
        <v>1</v>
      </c>
      <c r="I32">
        <v>1</v>
      </c>
      <c r="J32">
        <v>0</v>
      </c>
      <c r="K32">
        <v>1</v>
      </c>
      <c r="L32">
        <v>3</v>
      </c>
      <c r="M32" t="s">
        <v>55</v>
      </c>
      <c r="N32">
        <v>3</v>
      </c>
      <c r="O32">
        <v>3</v>
      </c>
      <c r="P32" t="s">
        <v>55</v>
      </c>
      <c r="AE32">
        <v>664396740</v>
      </c>
      <c r="AF32" t="s">
        <v>104</v>
      </c>
      <c r="AG32" s="1">
        <v>46058.416030092587</v>
      </c>
      <c r="AJ32" t="s">
        <v>42</v>
      </c>
      <c r="AL32" t="s">
        <v>100</v>
      </c>
      <c r="AN32">
        <v>31</v>
      </c>
    </row>
    <row r="33" spans="1:40" x14ac:dyDescent="0.3">
      <c r="A33" s="1">
        <v>46058.546403414352</v>
      </c>
      <c r="B33" s="1">
        <v>46058.547464097217</v>
      </c>
      <c r="C33" t="s">
        <v>83</v>
      </c>
      <c r="D33">
        <v>4</v>
      </c>
      <c r="E33">
        <v>3</v>
      </c>
      <c r="F33" t="s">
        <v>53</v>
      </c>
      <c r="G33" t="s">
        <v>105</v>
      </c>
      <c r="H33">
        <v>1</v>
      </c>
      <c r="I33">
        <v>0</v>
      </c>
      <c r="J33">
        <v>1</v>
      </c>
      <c r="K33">
        <v>1</v>
      </c>
      <c r="L33">
        <v>4</v>
      </c>
      <c r="M33" t="s">
        <v>55</v>
      </c>
      <c r="N33">
        <v>1</v>
      </c>
      <c r="O33">
        <v>3</v>
      </c>
      <c r="P33" t="s">
        <v>55</v>
      </c>
      <c r="AE33">
        <v>664527669</v>
      </c>
      <c r="AF33" t="s">
        <v>106</v>
      </c>
      <c r="AG33" s="1">
        <v>46058.505798611113</v>
      </c>
      <c r="AJ33" t="s">
        <v>42</v>
      </c>
      <c r="AL33" t="s">
        <v>100</v>
      </c>
      <c r="AN33">
        <v>32</v>
      </c>
    </row>
    <row r="34" spans="1:40" x14ac:dyDescent="0.3">
      <c r="A34" s="1">
        <v>46058.589144259262</v>
      </c>
      <c r="B34" s="1">
        <v>46058.590420520843</v>
      </c>
      <c r="C34" t="s">
        <v>83</v>
      </c>
      <c r="D34">
        <v>3</v>
      </c>
      <c r="E34">
        <v>3</v>
      </c>
      <c r="F34" t="s">
        <v>53</v>
      </c>
      <c r="G34" t="s">
        <v>89</v>
      </c>
      <c r="H34">
        <v>1</v>
      </c>
      <c r="I34">
        <v>0</v>
      </c>
      <c r="J34">
        <v>0</v>
      </c>
      <c r="K34">
        <v>1</v>
      </c>
      <c r="L34">
        <v>2</v>
      </c>
      <c r="M34" t="s">
        <v>79</v>
      </c>
      <c r="N34">
        <v>1</v>
      </c>
      <c r="O34">
        <v>2</v>
      </c>
      <c r="P34" t="s">
        <v>67</v>
      </c>
      <c r="AE34">
        <v>664581494</v>
      </c>
      <c r="AF34" t="s">
        <v>107</v>
      </c>
      <c r="AG34" s="1">
        <v>46058.548761574071</v>
      </c>
      <c r="AJ34" t="s">
        <v>42</v>
      </c>
      <c r="AL34" t="s">
        <v>100</v>
      </c>
      <c r="AN34">
        <v>33</v>
      </c>
    </row>
    <row r="35" spans="1:40" x14ac:dyDescent="0.3">
      <c r="A35" s="1">
        <v>46058.608086030094</v>
      </c>
      <c r="B35" s="1">
        <v>46058.60911597222</v>
      </c>
      <c r="C35" t="s">
        <v>40</v>
      </c>
      <c r="D35">
        <v>5</v>
      </c>
      <c r="E35">
        <v>5</v>
      </c>
      <c r="F35" t="s">
        <v>53</v>
      </c>
      <c r="G35" t="s">
        <v>54</v>
      </c>
      <c r="H35">
        <v>0</v>
      </c>
      <c r="I35">
        <v>1</v>
      </c>
      <c r="J35">
        <v>0</v>
      </c>
      <c r="K35">
        <v>0</v>
      </c>
      <c r="L35">
        <v>5</v>
      </c>
      <c r="M35" t="s">
        <v>65</v>
      </c>
      <c r="N35">
        <v>2</v>
      </c>
      <c r="O35">
        <v>2</v>
      </c>
      <c r="P35" t="s">
        <v>55</v>
      </c>
      <c r="AE35">
        <v>664605813</v>
      </c>
      <c r="AF35" t="s">
        <v>108</v>
      </c>
      <c r="AG35" s="1">
        <v>46058.567453703698</v>
      </c>
      <c r="AJ35" t="s">
        <v>42</v>
      </c>
      <c r="AL35" t="s">
        <v>100</v>
      </c>
      <c r="AN35">
        <v>34</v>
      </c>
    </row>
    <row r="36" spans="1:40" x14ac:dyDescent="0.3">
      <c r="A36">
        <v>46059.472182951387</v>
      </c>
      <c r="B36">
        <v>46059.473693993059</v>
      </c>
      <c r="C36" t="s">
        <v>115</v>
      </c>
      <c r="D36">
        <v>4</v>
      </c>
      <c r="E36">
        <v>4</v>
      </c>
      <c r="F36" t="s">
        <v>116</v>
      </c>
      <c r="L36">
        <v>3</v>
      </c>
      <c r="M36" t="s">
        <v>55</v>
      </c>
      <c r="N36">
        <v>4</v>
      </c>
      <c r="O36">
        <v>4</v>
      </c>
      <c r="P36" t="s">
        <v>55</v>
      </c>
      <c r="AE36">
        <v>665255460</v>
      </c>
      <c r="AF36" t="s">
        <v>117</v>
      </c>
      <c r="AG36">
        <v>46059.432060185187</v>
      </c>
      <c r="AJ36" t="s">
        <v>42</v>
      </c>
      <c r="AL36" t="s">
        <v>100</v>
      </c>
      <c r="AN36">
        <v>35</v>
      </c>
    </row>
    <row r="37" spans="1:40" x14ac:dyDescent="0.3">
      <c r="A37">
        <v>46059.474266168982</v>
      </c>
      <c r="B37">
        <v>46059.475219733788</v>
      </c>
      <c r="C37" t="s">
        <v>76</v>
      </c>
      <c r="D37">
        <v>3</v>
      </c>
      <c r="E37">
        <v>4</v>
      </c>
      <c r="F37" t="s">
        <v>53</v>
      </c>
      <c r="G37" t="s">
        <v>118</v>
      </c>
      <c r="H37">
        <v>1</v>
      </c>
      <c r="I37">
        <v>0</v>
      </c>
      <c r="J37">
        <v>0</v>
      </c>
      <c r="K37">
        <v>0</v>
      </c>
      <c r="L37">
        <v>4</v>
      </c>
      <c r="M37" t="s">
        <v>55</v>
      </c>
      <c r="N37">
        <v>3</v>
      </c>
      <c r="O37">
        <v>5</v>
      </c>
      <c r="P37" t="s">
        <v>55</v>
      </c>
      <c r="AE37">
        <v>665257391</v>
      </c>
      <c r="AF37" t="s">
        <v>119</v>
      </c>
      <c r="AG37">
        <v>46059.433553240742</v>
      </c>
      <c r="AJ37" t="s">
        <v>42</v>
      </c>
      <c r="AL37" t="s">
        <v>100</v>
      </c>
      <c r="AN37">
        <v>36</v>
      </c>
    </row>
    <row r="38" spans="1:40" x14ac:dyDescent="0.3">
      <c r="A38">
        <v>46059.495665185183</v>
      </c>
      <c r="B38">
        <v>46059.496242175926</v>
      </c>
      <c r="C38" t="s">
        <v>52</v>
      </c>
      <c r="D38">
        <v>4</v>
      </c>
      <c r="E38">
        <v>4</v>
      </c>
      <c r="F38" t="s">
        <v>53</v>
      </c>
      <c r="G38" t="s">
        <v>54</v>
      </c>
      <c r="H38">
        <v>0</v>
      </c>
      <c r="I38">
        <v>1</v>
      </c>
      <c r="J38">
        <v>0</v>
      </c>
      <c r="K38">
        <v>0</v>
      </c>
      <c r="L38">
        <v>4</v>
      </c>
      <c r="M38" t="s">
        <v>65</v>
      </c>
      <c r="N38">
        <v>5</v>
      </c>
      <c r="O38">
        <v>5</v>
      </c>
      <c r="P38" t="s">
        <v>67</v>
      </c>
      <c r="AE38">
        <v>665280356</v>
      </c>
      <c r="AF38" t="s">
        <v>120</v>
      </c>
      <c r="AG38">
        <v>46059.454571759263</v>
      </c>
      <c r="AJ38" t="s">
        <v>42</v>
      </c>
      <c r="AL38" t="s">
        <v>100</v>
      </c>
      <c r="AN38">
        <v>37</v>
      </c>
    </row>
    <row r="39" spans="1:40" x14ac:dyDescent="0.3">
      <c r="A39">
        <v>46059.503467951392</v>
      </c>
      <c r="B39">
        <v>46059.504420034733</v>
      </c>
      <c r="C39" t="s">
        <v>76</v>
      </c>
      <c r="D39">
        <v>3</v>
      </c>
      <c r="E39">
        <v>2</v>
      </c>
      <c r="F39" t="s">
        <v>62</v>
      </c>
      <c r="G39" t="s">
        <v>74</v>
      </c>
      <c r="H39">
        <v>0</v>
      </c>
      <c r="I39">
        <v>0</v>
      </c>
      <c r="J39">
        <v>1</v>
      </c>
      <c r="K39">
        <v>0</v>
      </c>
      <c r="L39">
        <v>3</v>
      </c>
      <c r="M39" t="s">
        <v>79</v>
      </c>
      <c r="N39">
        <v>1</v>
      </c>
      <c r="O39">
        <v>3</v>
      </c>
      <c r="P39" t="s">
        <v>67</v>
      </c>
      <c r="AE39">
        <v>665288943</v>
      </c>
      <c r="AF39" t="s">
        <v>121</v>
      </c>
      <c r="AG39">
        <v>46059.462754629632</v>
      </c>
      <c r="AJ39" t="s">
        <v>42</v>
      </c>
      <c r="AL39" t="s">
        <v>100</v>
      </c>
      <c r="AN39">
        <v>38</v>
      </c>
    </row>
    <row r="40" spans="1:40" x14ac:dyDescent="0.3">
      <c r="A40">
        <v>46059.504337928243</v>
      </c>
      <c r="B40">
        <v>46059.5049353125</v>
      </c>
      <c r="C40" t="s">
        <v>122</v>
      </c>
      <c r="D40">
        <v>4</v>
      </c>
      <c r="E40">
        <v>4</v>
      </c>
      <c r="F40" t="s">
        <v>116</v>
      </c>
      <c r="G40" t="s">
        <v>54</v>
      </c>
      <c r="H40">
        <v>0</v>
      </c>
      <c r="I40">
        <v>1</v>
      </c>
      <c r="J40">
        <v>0</v>
      </c>
      <c r="K40">
        <v>0</v>
      </c>
      <c r="L40">
        <v>2</v>
      </c>
      <c r="M40" t="s">
        <v>55</v>
      </c>
      <c r="N40">
        <v>4</v>
      </c>
      <c r="O40">
        <v>4</v>
      </c>
      <c r="P40" t="s">
        <v>55</v>
      </c>
      <c r="AE40">
        <v>665289416</v>
      </c>
      <c r="AF40" t="s">
        <v>123</v>
      </c>
      <c r="AG40">
        <v>46059.463287037041</v>
      </c>
      <c r="AJ40" t="s">
        <v>42</v>
      </c>
      <c r="AL40" t="s">
        <v>100</v>
      </c>
      <c r="AN40">
        <v>39</v>
      </c>
    </row>
    <row r="41" spans="1:40" x14ac:dyDescent="0.3">
      <c r="A41">
        <v>46059.508378726852</v>
      </c>
      <c r="B41">
        <v>46059.5098168287</v>
      </c>
      <c r="C41" t="s">
        <v>40</v>
      </c>
      <c r="D41">
        <v>4</v>
      </c>
      <c r="E41">
        <v>5</v>
      </c>
      <c r="F41" t="s">
        <v>62</v>
      </c>
      <c r="G41" t="s">
        <v>124</v>
      </c>
      <c r="H41">
        <v>1</v>
      </c>
      <c r="I41">
        <v>1</v>
      </c>
      <c r="J41">
        <v>0</v>
      </c>
      <c r="K41">
        <v>0</v>
      </c>
      <c r="L41">
        <v>4</v>
      </c>
      <c r="M41" t="s">
        <v>55</v>
      </c>
      <c r="N41">
        <v>2</v>
      </c>
      <c r="O41">
        <v>4</v>
      </c>
      <c r="P41" t="s">
        <v>55</v>
      </c>
      <c r="AE41">
        <v>665294269</v>
      </c>
      <c r="AF41" t="s">
        <v>125</v>
      </c>
      <c r="AG41">
        <v>46059.468148148153</v>
      </c>
      <c r="AJ41" t="s">
        <v>42</v>
      </c>
      <c r="AL41" t="s">
        <v>100</v>
      </c>
      <c r="AN41">
        <v>40</v>
      </c>
    </row>
    <row r="42" spans="1:40" x14ac:dyDescent="0.3">
      <c r="A42">
        <v>46059.529798124997</v>
      </c>
      <c r="B42">
        <v>46059.53176244213</v>
      </c>
      <c r="C42" t="s">
        <v>48</v>
      </c>
      <c r="D42">
        <v>4</v>
      </c>
      <c r="E42">
        <v>4</v>
      </c>
      <c r="F42" t="s">
        <v>53</v>
      </c>
      <c r="G42" t="s">
        <v>54</v>
      </c>
      <c r="H42">
        <v>0</v>
      </c>
      <c r="I42">
        <v>1</v>
      </c>
      <c r="J42">
        <v>0</v>
      </c>
      <c r="K42">
        <v>0</v>
      </c>
      <c r="L42">
        <v>3</v>
      </c>
      <c r="M42" t="s">
        <v>55</v>
      </c>
      <c r="N42">
        <v>2</v>
      </c>
      <c r="O42">
        <v>2</v>
      </c>
      <c r="P42" t="s">
        <v>55</v>
      </c>
      <c r="AE42">
        <v>665321646</v>
      </c>
      <c r="AF42" t="s">
        <v>126</v>
      </c>
      <c r="AG42">
        <v>46059.490104166667</v>
      </c>
      <c r="AJ42" t="s">
        <v>42</v>
      </c>
      <c r="AL42" t="s">
        <v>100</v>
      </c>
      <c r="AN42">
        <v>41</v>
      </c>
    </row>
    <row r="43" spans="1:40" x14ac:dyDescent="0.3">
      <c r="A43">
        <v>46059.76760240741</v>
      </c>
      <c r="B43">
        <v>46059.768198923608</v>
      </c>
      <c r="C43" t="s">
        <v>48</v>
      </c>
      <c r="D43">
        <v>3</v>
      </c>
      <c r="E43">
        <v>3</v>
      </c>
      <c r="F43" t="s">
        <v>116</v>
      </c>
      <c r="G43" t="s">
        <v>54</v>
      </c>
      <c r="H43">
        <v>0</v>
      </c>
      <c r="I43">
        <v>1</v>
      </c>
      <c r="J43">
        <v>0</v>
      </c>
      <c r="K43">
        <v>0</v>
      </c>
      <c r="L43">
        <v>4</v>
      </c>
      <c r="M43" t="s">
        <v>65</v>
      </c>
      <c r="N43">
        <v>2</v>
      </c>
      <c r="O43">
        <v>5</v>
      </c>
      <c r="P43" t="s">
        <v>55</v>
      </c>
      <c r="AE43">
        <v>665595092</v>
      </c>
      <c r="AF43" t="s">
        <v>127</v>
      </c>
      <c r="AG43">
        <v>46059.726574074077</v>
      </c>
      <c r="AJ43" t="s">
        <v>42</v>
      </c>
      <c r="AL43" t="s">
        <v>100</v>
      </c>
      <c r="AN43">
        <v>42</v>
      </c>
    </row>
    <row r="44" spans="1:40" x14ac:dyDescent="0.3">
      <c r="A44">
        <v>46059.788951747687</v>
      </c>
      <c r="B44">
        <v>46059.789958460649</v>
      </c>
      <c r="C44" t="s">
        <v>44</v>
      </c>
      <c r="D44">
        <v>4</v>
      </c>
      <c r="E44">
        <v>3</v>
      </c>
      <c r="F44" t="s">
        <v>53</v>
      </c>
      <c r="G44" t="s">
        <v>118</v>
      </c>
      <c r="H44">
        <v>1</v>
      </c>
      <c r="I44">
        <v>0</v>
      </c>
      <c r="J44">
        <v>0</v>
      </c>
      <c r="K44">
        <v>0</v>
      </c>
      <c r="L44">
        <v>3</v>
      </c>
      <c r="M44" t="s">
        <v>55</v>
      </c>
      <c r="N44">
        <v>4</v>
      </c>
      <c r="O44">
        <v>3</v>
      </c>
      <c r="P44" t="s">
        <v>67</v>
      </c>
      <c r="AE44">
        <v>665614413</v>
      </c>
      <c r="AF44" t="s">
        <v>128</v>
      </c>
      <c r="AG44">
        <v>46059.748287037037</v>
      </c>
      <c r="AJ44" t="s">
        <v>42</v>
      </c>
      <c r="AL44" t="s">
        <v>100</v>
      </c>
      <c r="AN44">
        <v>43</v>
      </c>
    </row>
    <row r="45" spans="1:40" x14ac:dyDescent="0.3">
      <c r="A45">
        <v>46059.809545694443</v>
      </c>
      <c r="B45">
        <v>46059.810992557868</v>
      </c>
      <c r="C45" t="s">
        <v>44</v>
      </c>
      <c r="D45">
        <v>4</v>
      </c>
      <c r="E45">
        <v>2</v>
      </c>
      <c r="F45" t="s">
        <v>53</v>
      </c>
      <c r="G45" t="s">
        <v>124</v>
      </c>
      <c r="H45">
        <v>1</v>
      </c>
      <c r="I45">
        <v>1</v>
      </c>
      <c r="J45">
        <v>0</v>
      </c>
      <c r="K45">
        <v>0</v>
      </c>
      <c r="L45">
        <v>3</v>
      </c>
      <c r="M45" t="s">
        <v>55</v>
      </c>
      <c r="N45">
        <v>3</v>
      </c>
      <c r="O45">
        <v>4</v>
      </c>
      <c r="P45" t="s">
        <v>55</v>
      </c>
      <c r="AE45">
        <v>665632868</v>
      </c>
      <c r="AF45" t="s">
        <v>129</v>
      </c>
      <c r="AG45">
        <v>46059.769328703696</v>
      </c>
      <c r="AJ45" t="s">
        <v>42</v>
      </c>
      <c r="AL45" t="s">
        <v>100</v>
      </c>
      <c r="AN45">
        <v>44</v>
      </c>
    </row>
    <row r="46" spans="1:40" x14ac:dyDescent="0.3">
      <c r="A46">
        <v>46059.853088055563</v>
      </c>
      <c r="B46">
        <v>46059.854076041673</v>
      </c>
      <c r="C46" t="s">
        <v>83</v>
      </c>
      <c r="D46">
        <v>2</v>
      </c>
      <c r="E46">
        <v>2</v>
      </c>
      <c r="F46" t="s">
        <v>116</v>
      </c>
      <c r="G46" t="s">
        <v>71</v>
      </c>
      <c r="H46">
        <v>1</v>
      </c>
      <c r="I46">
        <v>1</v>
      </c>
      <c r="J46">
        <v>1</v>
      </c>
      <c r="K46">
        <v>1</v>
      </c>
      <c r="L46">
        <v>3</v>
      </c>
      <c r="M46" t="s">
        <v>55</v>
      </c>
      <c r="N46">
        <v>2</v>
      </c>
      <c r="O46">
        <v>4</v>
      </c>
      <c r="P46" t="s">
        <v>55</v>
      </c>
      <c r="AE46">
        <v>665669102</v>
      </c>
      <c r="AF46" t="s">
        <v>130</v>
      </c>
      <c r="AG46">
        <v>46059.812407407408</v>
      </c>
      <c r="AJ46" t="s">
        <v>42</v>
      </c>
      <c r="AL46" t="s">
        <v>100</v>
      </c>
      <c r="AN46">
        <v>45</v>
      </c>
    </row>
    <row r="47" spans="1:40" x14ac:dyDescent="0.3">
      <c r="A47">
        <v>46059.916633761582</v>
      </c>
      <c r="B47">
        <v>46059.920167488417</v>
      </c>
      <c r="C47" t="s">
        <v>83</v>
      </c>
      <c r="D47">
        <v>3</v>
      </c>
      <c r="E47">
        <v>2</v>
      </c>
      <c r="F47" t="s">
        <v>62</v>
      </c>
      <c r="L47">
        <v>1</v>
      </c>
      <c r="M47" t="s">
        <v>79</v>
      </c>
      <c r="N47">
        <v>1</v>
      </c>
      <c r="O47">
        <v>4</v>
      </c>
      <c r="P47" t="s">
        <v>55</v>
      </c>
      <c r="AE47">
        <v>665708272</v>
      </c>
      <c r="AF47" t="s">
        <v>131</v>
      </c>
      <c r="AG47">
        <v>46059.878518518519</v>
      </c>
      <c r="AJ47" t="s">
        <v>42</v>
      </c>
      <c r="AL47" t="s">
        <v>100</v>
      </c>
      <c r="AN47">
        <v>46</v>
      </c>
    </row>
    <row r="48" spans="1:40" x14ac:dyDescent="0.3">
      <c r="A48">
        <v>46059.918463032409</v>
      </c>
      <c r="B48">
        <v>46059.920553912038</v>
      </c>
      <c r="C48" t="s">
        <v>132</v>
      </c>
      <c r="D48">
        <v>2</v>
      </c>
      <c r="E48">
        <v>3</v>
      </c>
      <c r="F48" t="s">
        <v>116</v>
      </c>
      <c r="G48" t="s">
        <v>71</v>
      </c>
      <c r="H48">
        <v>1</v>
      </c>
      <c r="I48">
        <v>1</v>
      </c>
      <c r="J48">
        <v>1</v>
      </c>
      <c r="K48">
        <v>1</v>
      </c>
      <c r="L48">
        <v>2</v>
      </c>
      <c r="M48" t="s">
        <v>79</v>
      </c>
      <c r="N48">
        <v>1</v>
      </c>
      <c r="O48">
        <v>1</v>
      </c>
      <c r="P48" t="s">
        <v>55</v>
      </c>
      <c r="AE48">
        <v>665708533</v>
      </c>
      <c r="AF48" t="s">
        <v>133</v>
      </c>
      <c r="AG48">
        <v>46059.878888888888</v>
      </c>
      <c r="AJ48" t="s">
        <v>42</v>
      </c>
      <c r="AL48" t="s">
        <v>100</v>
      </c>
      <c r="AN48">
        <v>47</v>
      </c>
    </row>
    <row r="49" spans="1:40" x14ac:dyDescent="0.3">
      <c r="A49">
        <v>46060.189698541668</v>
      </c>
      <c r="B49">
        <v>46060.190742245373</v>
      </c>
      <c r="C49" t="s">
        <v>134</v>
      </c>
      <c r="D49">
        <v>4</v>
      </c>
      <c r="E49">
        <v>4</v>
      </c>
      <c r="F49" t="s">
        <v>62</v>
      </c>
      <c r="G49" t="s">
        <v>54</v>
      </c>
      <c r="H49">
        <v>0</v>
      </c>
      <c r="I49">
        <v>1</v>
      </c>
      <c r="J49">
        <v>0</v>
      </c>
      <c r="K49">
        <v>0</v>
      </c>
      <c r="L49">
        <v>5</v>
      </c>
      <c r="M49" t="s">
        <v>55</v>
      </c>
      <c r="N49">
        <v>4</v>
      </c>
      <c r="O49">
        <v>5</v>
      </c>
      <c r="P49" t="s">
        <v>55</v>
      </c>
      <c r="AE49">
        <v>665782900</v>
      </c>
      <c r="AF49" t="s">
        <v>135</v>
      </c>
      <c r="AG49">
        <v>46060.149097222216</v>
      </c>
      <c r="AJ49" t="s">
        <v>42</v>
      </c>
      <c r="AL49" t="s">
        <v>100</v>
      </c>
      <c r="AN49">
        <v>48</v>
      </c>
    </row>
    <row r="50" spans="1:40" x14ac:dyDescent="0.3">
      <c r="A50">
        <v>46060.305792094907</v>
      </c>
      <c r="B50">
        <v>46060.306649571758</v>
      </c>
      <c r="C50" t="s">
        <v>52</v>
      </c>
      <c r="D50">
        <v>4</v>
      </c>
      <c r="E50">
        <v>4</v>
      </c>
      <c r="F50" t="s">
        <v>53</v>
      </c>
      <c r="G50" t="s">
        <v>74</v>
      </c>
      <c r="H50">
        <v>0</v>
      </c>
      <c r="I50">
        <v>0</v>
      </c>
      <c r="J50">
        <v>1</v>
      </c>
      <c r="K50">
        <v>0</v>
      </c>
      <c r="L50">
        <v>4</v>
      </c>
      <c r="M50" t="s">
        <v>55</v>
      </c>
      <c r="N50">
        <v>3</v>
      </c>
      <c r="O50">
        <v>4</v>
      </c>
      <c r="P50" t="s">
        <v>55</v>
      </c>
      <c r="AE50">
        <v>665838258</v>
      </c>
      <c r="AF50" t="s">
        <v>136</v>
      </c>
      <c r="AG50">
        <v>46060.264988425923</v>
      </c>
      <c r="AJ50" t="s">
        <v>42</v>
      </c>
      <c r="AL50" t="s">
        <v>100</v>
      </c>
      <c r="AN50">
        <v>49</v>
      </c>
    </row>
    <row r="51" spans="1:40" x14ac:dyDescent="0.3">
      <c r="A51">
        <v>46060.392182731477</v>
      </c>
      <c r="B51">
        <v>46060.392254675928</v>
      </c>
      <c r="AE51">
        <v>665898327</v>
      </c>
      <c r="AF51" t="s">
        <v>137</v>
      </c>
      <c r="AG51">
        <v>46060.350613425922</v>
      </c>
      <c r="AJ51" t="s">
        <v>42</v>
      </c>
      <c r="AL51" t="s">
        <v>69</v>
      </c>
      <c r="AN51">
        <v>50</v>
      </c>
    </row>
    <row r="52" spans="1:40" x14ac:dyDescent="0.3">
      <c r="A52">
        <v>46060.418674247689</v>
      </c>
      <c r="B52">
        <v>46060.420378391202</v>
      </c>
      <c r="C52" t="s">
        <v>58</v>
      </c>
      <c r="D52">
        <v>5</v>
      </c>
      <c r="E52">
        <v>5</v>
      </c>
      <c r="F52" t="s">
        <v>53</v>
      </c>
      <c r="G52" t="s">
        <v>54</v>
      </c>
      <c r="H52">
        <v>0</v>
      </c>
      <c r="I52">
        <v>1</v>
      </c>
      <c r="J52">
        <v>0</v>
      </c>
      <c r="K52">
        <v>0</v>
      </c>
      <c r="L52">
        <v>1</v>
      </c>
      <c r="M52" t="s">
        <v>55</v>
      </c>
      <c r="N52">
        <v>3</v>
      </c>
      <c r="O52">
        <v>2</v>
      </c>
      <c r="P52" t="s">
        <v>55</v>
      </c>
      <c r="AE52">
        <v>665919167</v>
      </c>
      <c r="AF52" t="s">
        <v>138</v>
      </c>
      <c r="AG52">
        <v>46060.37872685185</v>
      </c>
      <c r="AJ52" t="s">
        <v>42</v>
      </c>
      <c r="AL52" t="s">
        <v>100</v>
      </c>
      <c r="AN52">
        <v>51</v>
      </c>
    </row>
    <row r="53" spans="1:40" x14ac:dyDescent="0.3">
      <c r="A53">
        <v>46060.459691678239</v>
      </c>
      <c r="B53">
        <v>46060.463261030091</v>
      </c>
      <c r="C53" t="s">
        <v>83</v>
      </c>
      <c r="D53">
        <v>3</v>
      </c>
      <c r="E53">
        <v>4</v>
      </c>
      <c r="F53" t="s">
        <v>53</v>
      </c>
      <c r="G53" t="s">
        <v>71</v>
      </c>
      <c r="H53">
        <v>1</v>
      </c>
      <c r="I53">
        <v>1</v>
      </c>
      <c r="J53">
        <v>1</v>
      </c>
      <c r="K53">
        <v>1</v>
      </c>
      <c r="L53">
        <v>4</v>
      </c>
      <c r="M53" t="s">
        <v>55</v>
      </c>
      <c r="N53">
        <v>3</v>
      </c>
      <c r="O53">
        <v>4</v>
      </c>
      <c r="P53" t="s">
        <v>67</v>
      </c>
      <c r="AE53">
        <v>665955744</v>
      </c>
      <c r="AF53" t="s">
        <v>139</v>
      </c>
      <c r="AG53">
        <v>46060.421620370369</v>
      </c>
      <c r="AJ53" t="s">
        <v>42</v>
      </c>
      <c r="AL53" t="s">
        <v>100</v>
      </c>
      <c r="AN53">
        <v>52</v>
      </c>
    </row>
    <row r="54" spans="1:40" x14ac:dyDescent="0.3">
      <c r="A54">
        <v>46061.944163356478</v>
      </c>
      <c r="B54">
        <v>46061.945011990741</v>
      </c>
      <c r="C54" t="s">
        <v>93</v>
      </c>
      <c r="D54">
        <v>4</v>
      </c>
      <c r="E54">
        <v>2</v>
      </c>
      <c r="F54" t="s">
        <v>53</v>
      </c>
      <c r="G54" t="s">
        <v>71</v>
      </c>
      <c r="H54">
        <v>1</v>
      </c>
      <c r="I54">
        <v>1</v>
      </c>
      <c r="J54">
        <v>1</v>
      </c>
      <c r="K54">
        <v>1</v>
      </c>
      <c r="L54">
        <v>3</v>
      </c>
      <c r="M54" t="s">
        <v>55</v>
      </c>
      <c r="N54">
        <v>2</v>
      </c>
      <c r="O54">
        <v>2</v>
      </c>
      <c r="P54" t="s">
        <v>67</v>
      </c>
      <c r="AE54">
        <v>666670055</v>
      </c>
      <c r="AF54" t="s">
        <v>140</v>
      </c>
      <c r="AG54">
        <v>46061.903344907398</v>
      </c>
      <c r="AJ54" t="s">
        <v>42</v>
      </c>
      <c r="AL54" t="s">
        <v>100</v>
      </c>
      <c r="AN54">
        <v>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DAF17D-E98D-4E62-9932-3E573BFC16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Data</vt:lpstr>
      <vt:lpstr>Clean Data</vt:lpstr>
      <vt:lpstr>PIVOT TABLES</vt:lpstr>
      <vt:lpstr>AI prompt Generated table</vt:lpstr>
      <vt:lpstr>Supporting RAW(Data Survey)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Arinzechukwu Anthony</cp:lastModifiedBy>
  <dcterms:created xsi:type="dcterms:W3CDTF">2026-02-06T09:46:35Z</dcterms:created>
  <dcterms:modified xsi:type="dcterms:W3CDTF">2026-02-10T14:58:31Z</dcterms:modified>
</cp:coreProperties>
</file>